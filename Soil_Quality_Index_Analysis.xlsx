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13_ncr:1_{BA94DDB9-A474-4AC8-AD45-C50584AE77AE}" xr6:coauthVersionLast="47" xr6:coauthVersionMax="47" xr10:uidLastSave="{00000000-0000-0000-0000-000000000000}"/>
  <bookViews>
    <workbookView xWindow="-108" yWindow="-108" windowWidth="23256" windowHeight="12456" activeTab="1" xr2:uid="{00000000-000D-0000-FFFF-FFFF00000000}"/>
  </bookViews>
  <sheets>
    <sheet name="SQI Main Table" sheetId="1" r:id="rId1"/>
    <sheet name="SQI Pivot Table" sheetId="2" r:id="rId2"/>
    <sheet name="SQI Dashboard" sheetId="3" r:id="rId3"/>
  </sheets>
  <definedNames>
    <definedName name="Slicer_Local_Name">#N/A</definedName>
    <definedName name="Slicer_Soil_Quality_Class">#N/A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<sst xmlns="http://schemas.openxmlformats.org/spreadsheetml/2006/main" count="84" uniqueCount="36">
  <si>
    <t>Local Name</t>
  </si>
  <si>
    <t>N Score</t>
  </si>
  <si>
    <t>P Score</t>
  </si>
  <si>
    <t>K Score</t>
  </si>
  <si>
    <t>pH Score</t>
  </si>
  <si>
    <t>Temp Score</t>
  </si>
  <si>
    <t>EC Score</t>
  </si>
  <si>
    <t>Humidity Score</t>
  </si>
  <si>
    <t>SQI</t>
  </si>
  <si>
    <t>Soil Quality Class</t>
  </si>
  <si>
    <t>Ramada in Kolatoli</t>
  </si>
  <si>
    <t>Poor</t>
  </si>
  <si>
    <t>Fakir group</t>
  </si>
  <si>
    <t>Moderate</t>
  </si>
  <si>
    <t>Beach lounge</t>
  </si>
  <si>
    <t>North-western kolatoli</t>
  </si>
  <si>
    <t>Good</t>
  </si>
  <si>
    <t>Sughandha Main Point</t>
  </si>
  <si>
    <t>Seagull hotel Sughandha</t>
  </si>
  <si>
    <t>Dominous Resort</t>
  </si>
  <si>
    <t>Zilla Parishad Laboni beach</t>
  </si>
  <si>
    <t>Beach Park</t>
  </si>
  <si>
    <t>Himchari viewpoint</t>
  </si>
  <si>
    <t>Near 924F+GR8 Himchari</t>
  </si>
  <si>
    <t>Inani, Mohammad safi beel</t>
  </si>
  <si>
    <t>Shah porir Island</t>
  </si>
  <si>
    <t>Naf River Bank</t>
  </si>
  <si>
    <t>Near Shahpori dwip Bridge</t>
  </si>
  <si>
    <t>Average of SQI</t>
  </si>
  <si>
    <t>Count of Local Name</t>
  </si>
  <si>
    <t>Average of N Score</t>
  </si>
  <si>
    <t>Average of P Score</t>
  </si>
  <si>
    <t>Average of K Score</t>
  </si>
  <si>
    <t>Average of pH Score</t>
  </si>
  <si>
    <t>Average of EC Score</t>
  </si>
  <si>
    <t>SQI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</si>
</sst>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1F1F1F"/>
      <name val="Arial Black"/>
      <family val="2"/>
    </font>
    <font>
      <sz val="11"/>
      <color rgb="FF1F1F1F"/>
      <name val="Times New Roman"/>
      <family val="1"/>
    </font>
    <font>
      <b/>
      <sz val="11"/>
      <color rgb="FF1F1F1F"/>
      <name val="Times New Roman"/>
      <family val="1"/>
    </font>
    <font>
      <b/>
      <sz val="20"/>
      <color theme="1"/>
      <name val="Arial Black"/>
      <family val="2"/>
    </font>
    <font>
      <b/>
      <sz val="12"/>
      <color theme="1"/>
      <name val="Arial Black"/>
      <family val="2"/>
    </font>
    <font>
      <b/>
      <sz val="11"/>
      <color theme="1"/>
      <name val="Arial Black"/>
      <family val="2"/>
    </font>
  </fonts>
  <fills count="3">
    <fill>
      <patternFill patternType="none"/>
    </fill>
    <fill>
      <patternFill patternType="gray125"/>
    </fill>
    <fill>
      <patternFill patternType="solid">
        <fgColor theme="7" tint="0.59999389629810485"/>
        <bgColor indexed="64"/>
      </patternFill>
    </fill>
  </fills>
  <borders count="17">
    <border>
      <left/>
      <right/>
      <top/>
      <bottom/>
      <diagonal/>
    </border>
    <border>
      <left style="medium">
        <color rgb="FFC4C7C5"/>
      </left>
      <right style="medium">
        <color rgb="FFC4C7C5"/>
      </right>
      <top style="medium">
        <color rgb="FFC4C7C5"/>
      </top>
      <bottom style="medium">
        <color rgb="FFC4C7C5"/>
      </bottom>
      <diagonal/>
    </border>
    <border>
      <left/>
      <right style="medium">
        <color rgb="FFC4C7C5"/>
      </right>
      <top style="medium">
        <color rgb="FFC4C7C5"/>
      </top>
      <bottom style="medium">
        <color rgb="FFC4C7C5"/>
      </bottom>
      <diagonal/>
    </border>
    <border>
      <left style="medium">
        <color rgb="FFC4C7C5"/>
      </left>
      <right/>
      <top style="medium">
        <color rgb="FFC4C7C5"/>
      </top>
      <bottom style="medium">
        <color rgb="FFC4C7C5"/>
      </bottom>
      <diagonal/>
    </border>
    <border>
      <left/>
      <right style="medium">
        <color rgb="FFC4C7C5"/>
      </right>
      <top/>
      <bottom style="medium">
        <color rgb="FFC4C7C5"/>
      </bottom>
      <diagonal/>
    </border>
    <border>
      <left style="medium">
        <color rgb="FFC4C7C5"/>
      </left>
      <right style="medium">
        <color rgb="FFC4C7C5"/>
      </right>
      <top/>
      <bottom style="medium">
        <color rgb="FFC4C7C5"/>
      </bottom>
      <diagonal/>
    </border>
    <border>
      <left style="medium">
        <color rgb="FFC4C7C5"/>
      </left>
      <right/>
      <top/>
      <bottom style="medium">
        <color rgb="FFC4C7C5"/>
      </bottom>
      <diagonal/>
    </border>
    <border>
      <left/>
      <right style="medium">
        <color rgb="FFC4C7C5"/>
      </right>
      <top style="medium">
        <color rgb="FFC4C7C5"/>
      </top>
      <bottom/>
      <diagonal/>
    </border>
    <border>
      <left style="medium">
        <color rgb="FFC4C7C5"/>
      </left>
      <right style="medium">
        <color rgb="FFC4C7C5"/>
      </right>
      <top style="medium">
        <color rgb="FFC4C7C5"/>
      </top>
      <bottom/>
      <diagonal/>
    </border>
    <border>
      <left style="medium">
        <color rgb="FFC4C7C5"/>
      </left>
      <right/>
      <top style="medium">
        <color rgb="FFC4C7C5"/>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29">
    <xf numFmtId="0" fontId="0" fillId="0" borderId="0" xfId="0"/>
    <xf numFmtId="2" fontId="1" fillId="0" borderId="4" xfId="0" applyNumberFormat="1" applyFont="1" applyBorder="1" applyAlignment="1">
      <alignment horizontal="center" vertical="center" wrapText="1" readingOrder="1"/>
    </xf>
    <xf numFmtId="2" fontId="1" fillId="0" borderId="5" xfId="0" applyNumberFormat="1" applyFont="1" applyBorder="1" applyAlignment="1">
      <alignment horizontal="center" vertical="center" wrapText="1" readingOrder="1"/>
    </xf>
    <xf numFmtId="2" fontId="1" fillId="0" borderId="6" xfId="0" applyNumberFormat="1" applyFont="1" applyBorder="1" applyAlignment="1">
      <alignment horizontal="center" vertical="center" wrapText="1" readingOrder="1"/>
    </xf>
    <xf numFmtId="2" fontId="2" fillId="0" borderId="2" xfId="0" applyNumberFormat="1" applyFont="1" applyBorder="1" applyAlignment="1">
      <alignment horizontal="center" vertical="center" wrapText="1" readingOrder="1"/>
    </xf>
    <xf numFmtId="2" fontId="2" fillId="0" borderId="1" xfId="0" applyNumberFormat="1" applyFont="1" applyBorder="1" applyAlignment="1">
      <alignment horizontal="center" vertical="center" wrapText="1" readingOrder="1"/>
    </xf>
    <xf numFmtId="2" fontId="3" fillId="0" borderId="1" xfId="0" applyNumberFormat="1" applyFont="1" applyBorder="1" applyAlignment="1">
      <alignment horizontal="center" vertical="center" wrapText="1" readingOrder="1"/>
    </xf>
    <xf numFmtId="2" fontId="2" fillId="0" borderId="3" xfId="0" applyNumberFormat="1" applyFont="1" applyBorder="1" applyAlignment="1">
      <alignment horizontal="center" vertical="center" wrapText="1" readingOrder="1"/>
    </xf>
    <xf numFmtId="2" fontId="2" fillId="0" borderId="7" xfId="0" applyNumberFormat="1" applyFont="1" applyBorder="1" applyAlignment="1">
      <alignment horizontal="center" vertical="center" wrapText="1" readingOrder="1"/>
    </xf>
    <xf numFmtId="2" fontId="2" fillId="0" borderId="8" xfId="0" applyNumberFormat="1" applyFont="1" applyBorder="1" applyAlignment="1">
      <alignment horizontal="center" vertical="center" wrapText="1" readingOrder="1"/>
    </xf>
    <xf numFmtId="2" fontId="3" fillId="0" borderId="8" xfId="0" applyNumberFormat="1" applyFont="1" applyBorder="1" applyAlignment="1">
      <alignment horizontal="center" vertical="center" wrapText="1" readingOrder="1"/>
    </xf>
    <xf numFmtId="2" fontId="2" fillId="0" borderId="9" xfId="0" applyNumberFormat="1" applyFont="1" applyBorder="1" applyAlignment="1">
      <alignment horizontal="center" vertical="center" wrapText="1" readingOrder="1"/>
    </xf>
    <xf numFmtId="2" fontId="0" fillId="0" borderId="0" xfId="0" applyNumberFormat="1"/>
    <xf numFmtId="0" fontId="0" fillId="0" borderId="0" xfId="0" applyNumberFormat="1"/>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2" borderId="14" xfId="0" applyFont="1" applyFill="1" applyBorder="1" applyAlignment="1">
      <alignment horizontal="center" vertical="center"/>
    </xf>
    <xf numFmtId="0" fontId="4" fillId="2" borderId="15" xfId="0" applyFont="1" applyFill="1" applyBorder="1" applyAlignment="1">
      <alignment horizontal="center" vertical="center"/>
    </xf>
    <xf numFmtId="0" fontId="4" fillId="2" borderId="0" xfId="0" applyFont="1" applyFill="1" applyBorder="1" applyAlignment="1">
      <alignment horizontal="center" vertical="center"/>
    </xf>
    <xf numFmtId="0" fontId="0" fillId="0" borderId="10" xfId="0" applyBorder="1"/>
    <xf numFmtId="2" fontId="0" fillId="0" borderId="10" xfId="0" applyNumberFormat="1" applyBorder="1"/>
    <xf numFmtId="0" fontId="5" fillId="0" borderId="10" xfId="0" pivotButton="1" applyFont="1" applyBorder="1" applyAlignment="1">
      <alignment horizontal="center"/>
    </xf>
    <xf numFmtId="0" fontId="5" fillId="0" borderId="10" xfId="0" applyFont="1" applyBorder="1" applyAlignment="1">
      <alignment horizontal="center"/>
    </xf>
    <xf numFmtId="0" fontId="5" fillId="0" borderId="0" xfId="0" pivotButton="1" applyFont="1" applyAlignment="1">
      <alignment horizontal="center"/>
    </xf>
    <xf numFmtId="0" fontId="5" fillId="0" borderId="0" xfId="0" applyFont="1" applyAlignment="1">
      <alignment horizontal="center"/>
    </xf>
    <xf numFmtId="0" fontId="4" fillId="2" borderId="16" xfId="0" applyFont="1" applyFill="1" applyBorder="1" applyAlignment="1">
      <alignment horizontal="center" vertical="center"/>
    </xf>
    <xf numFmtId="0" fontId="6" fillId="0" borderId="10" xfId="0" pivotButton="1" applyFont="1" applyBorder="1"/>
    <xf numFmtId="0" fontId="6" fillId="0" borderId="10" xfId="0" applyFont="1" applyBorder="1"/>
  </cellXfs>
  <cellStyles count="1">
    <cellStyle name="Normal" xfId="0" builtinId="0"/>
  </cellStyles>
  <dxfs count="5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Arial Black"/>
        <scheme val="none"/>
      </font>
    </dxf>
    <dxf>
      <font>
        <name val="Arial Black"/>
        <scheme val="none"/>
      </font>
    </dxf>
    <dxf>
      <font>
        <b/>
      </font>
    </dxf>
    <dxf>
      <font>
        <b/>
      </font>
    </dxf>
    <dxf>
      <font>
        <sz val="12"/>
      </font>
    </dxf>
    <dxf>
      <font>
        <sz val="12"/>
      </font>
    </dxf>
    <dxf>
      <font>
        <sz val="12"/>
      </font>
    </dxf>
    <dxf>
      <font>
        <name val="Arial Black"/>
        <scheme val="none"/>
      </font>
    </dxf>
    <dxf>
      <font>
        <name val="Arial Black"/>
        <scheme val="none"/>
      </font>
    </dxf>
    <dxf>
      <font>
        <name val="Arial Black"/>
        <scheme val="none"/>
      </font>
    </dxf>
    <dxf>
      <font>
        <b/>
      </font>
    </dxf>
    <dxf>
      <font>
        <b/>
      </font>
    </dxf>
    <dxf>
      <font>
        <b/>
      </font>
    </dxf>
    <dxf>
      <font>
        <name val="Arial Black"/>
        <scheme val="none"/>
      </font>
    </dxf>
    <dxf>
      <font>
        <name val="Arial Black"/>
        <scheme val="none"/>
      </font>
    </dxf>
    <dxf>
      <font>
        <name val="Arial Black"/>
        <scheme val="none"/>
      </font>
    </dxf>
    <dxf>
      <font>
        <sz val="12"/>
      </font>
    </dxf>
    <dxf>
      <font>
        <sz val="12"/>
      </font>
    </dxf>
    <dxf>
      <font>
        <sz val="12"/>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1F1F1F"/>
        <name val="Times New Roman"/>
        <family val="1"/>
        <scheme val="none"/>
      </font>
      <numFmt numFmtId="2" formatCode="0.00"/>
      <alignment horizontal="center" vertical="center" textRotation="0" wrapText="1" indent="0" justifyLastLine="0" shrinkToFit="0" readingOrder="1"/>
    </dxf>
    <dxf>
      <font>
        <b/>
        <i val="0"/>
        <strike val="0"/>
        <condense val="0"/>
        <extend val="0"/>
        <outline val="0"/>
        <shadow val="0"/>
        <u val="none"/>
        <vertAlign val="baseline"/>
        <sz val="14"/>
        <color rgb="FF1F1F1F"/>
        <name val="Arial Black"/>
        <family val="2"/>
        <scheme val="none"/>
      </font>
      <numFmt numFmtId="2" formatCode="0.00"/>
      <alignment horizontal="center" vertical="center" textRotation="0" wrapText="1" indent="0" justifyLastLine="0" shrinkToFit="0" readingOrder="1"/>
      <border diagonalUp="0" diagonalDown="0" outline="0">
        <left style="medium">
          <color rgb="FFC4C7C5"/>
        </left>
        <right style="medium">
          <color rgb="FFC4C7C5"/>
        </right>
        <top/>
        <bottom/>
      </border>
    </dxf>
    <dxf>
      <font>
        <b val="0"/>
        <i val="0"/>
        <strike val="0"/>
        <condense val="0"/>
        <extend val="0"/>
        <outline val="0"/>
        <shadow val="0"/>
        <u val="none"/>
        <vertAlign val="baseline"/>
        <sz val="11"/>
        <color rgb="FF1F1F1F"/>
        <name val="Times New Roman"/>
        <family val="1"/>
        <scheme val="none"/>
      </font>
      <numFmt numFmtId="2" formatCode="0.00"/>
      <alignment horizontal="center" vertical="center" textRotation="0" wrapText="1" indent="0" justifyLastLine="0" shrinkToFit="0" readingOrder="1"/>
      <border diagonalUp="0" diagonalDown="0" outline="0">
        <left style="medium">
          <color rgb="FFC4C7C5"/>
        </left>
        <right/>
        <top style="medium">
          <color rgb="FFC4C7C5"/>
        </top>
        <bottom style="medium">
          <color rgb="FFC4C7C5"/>
        </bottom>
      </border>
    </dxf>
    <dxf>
      <font>
        <b/>
        <i val="0"/>
        <strike val="0"/>
        <condense val="0"/>
        <extend val="0"/>
        <outline val="0"/>
        <shadow val="0"/>
        <u val="none"/>
        <vertAlign val="baseline"/>
        <sz val="11"/>
        <color rgb="FF1F1F1F"/>
        <name val="Times New Roman"/>
        <family val="1"/>
        <scheme val="none"/>
      </font>
      <numFmt numFmtId="2" formatCode="0.00"/>
      <alignment horizontal="center" vertical="center" textRotation="0" wrapText="1" indent="0" justifyLastLine="0" shrinkToFit="0" readingOrder="1"/>
      <border diagonalUp="0" diagonalDown="0" outline="0">
        <left style="medium">
          <color rgb="FFC4C7C5"/>
        </left>
        <right style="medium">
          <color rgb="FFC4C7C5"/>
        </right>
        <top style="medium">
          <color rgb="FFC4C7C5"/>
        </top>
        <bottom style="medium">
          <color rgb="FFC4C7C5"/>
        </bottom>
      </border>
    </dxf>
    <dxf>
      <font>
        <b val="0"/>
        <i val="0"/>
        <strike val="0"/>
        <condense val="0"/>
        <extend val="0"/>
        <outline val="0"/>
        <shadow val="0"/>
        <u val="none"/>
        <vertAlign val="baseline"/>
        <sz val="11"/>
        <color rgb="FF1F1F1F"/>
        <name val="Times New Roman"/>
        <family val="1"/>
        <scheme val="none"/>
      </font>
      <numFmt numFmtId="2" formatCode="0.00"/>
      <alignment horizontal="center" vertical="center" textRotation="0" wrapText="1" indent="0" justifyLastLine="0" shrinkToFit="0" readingOrder="1"/>
      <border diagonalUp="0" diagonalDown="0" outline="0">
        <left style="medium">
          <color rgb="FFC4C7C5"/>
        </left>
        <right style="medium">
          <color rgb="FFC4C7C5"/>
        </right>
        <top style="medium">
          <color rgb="FFC4C7C5"/>
        </top>
        <bottom style="medium">
          <color rgb="FFC4C7C5"/>
        </bottom>
      </border>
    </dxf>
    <dxf>
      <font>
        <b val="0"/>
        <i val="0"/>
        <strike val="0"/>
        <condense val="0"/>
        <extend val="0"/>
        <outline val="0"/>
        <shadow val="0"/>
        <u val="none"/>
        <vertAlign val="baseline"/>
        <sz val="11"/>
        <color rgb="FF1F1F1F"/>
        <name val="Times New Roman"/>
        <family val="1"/>
        <scheme val="none"/>
      </font>
      <numFmt numFmtId="2" formatCode="0.00"/>
      <alignment horizontal="center" vertical="center" textRotation="0" wrapText="1" indent="0" justifyLastLine="0" shrinkToFit="0" readingOrder="1"/>
      <border diagonalUp="0" diagonalDown="0" outline="0">
        <left style="medium">
          <color rgb="FFC4C7C5"/>
        </left>
        <right style="medium">
          <color rgb="FFC4C7C5"/>
        </right>
        <top style="medium">
          <color rgb="FFC4C7C5"/>
        </top>
        <bottom style="medium">
          <color rgb="FFC4C7C5"/>
        </bottom>
      </border>
    </dxf>
    <dxf>
      <font>
        <b val="0"/>
        <i val="0"/>
        <strike val="0"/>
        <condense val="0"/>
        <extend val="0"/>
        <outline val="0"/>
        <shadow val="0"/>
        <u val="none"/>
        <vertAlign val="baseline"/>
        <sz val="11"/>
        <color rgb="FF1F1F1F"/>
        <name val="Times New Roman"/>
        <family val="1"/>
        <scheme val="none"/>
      </font>
      <numFmt numFmtId="2" formatCode="0.00"/>
      <alignment horizontal="center" vertical="center" textRotation="0" wrapText="1" indent="0" justifyLastLine="0" shrinkToFit="0" readingOrder="1"/>
      <border diagonalUp="0" diagonalDown="0" outline="0">
        <left style="medium">
          <color rgb="FFC4C7C5"/>
        </left>
        <right style="medium">
          <color rgb="FFC4C7C5"/>
        </right>
        <top style="medium">
          <color rgb="FFC4C7C5"/>
        </top>
        <bottom style="medium">
          <color rgb="FFC4C7C5"/>
        </bottom>
      </border>
    </dxf>
    <dxf>
      <font>
        <b val="0"/>
        <i val="0"/>
        <strike val="0"/>
        <condense val="0"/>
        <extend val="0"/>
        <outline val="0"/>
        <shadow val="0"/>
        <u val="none"/>
        <vertAlign val="baseline"/>
        <sz val="11"/>
        <color rgb="FF1F1F1F"/>
        <name val="Times New Roman"/>
        <family val="1"/>
        <scheme val="none"/>
      </font>
      <numFmt numFmtId="2" formatCode="0.00"/>
      <alignment horizontal="center" vertical="center" textRotation="0" wrapText="1" indent="0" justifyLastLine="0" shrinkToFit="0" readingOrder="1"/>
      <border diagonalUp="0" diagonalDown="0" outline="0">
        <left style="medium">
          <color rgb="FFC4C7C5"/>
        </left>
        <right style="medium">
          <color rgb="FFC4C7C5"/>
        </right>
        <top style="medium">
          <color rgb="FFC4C7C5"/>
        </top>
        <bottom style="medium">
          <color rgb="FFC4C7C5"/>
        </bottom>
      </border>
    </dxf>
    <dxf>
      <font>
        <b val="0"/>
        <i val="0"/>
        <strike val="0"/>
        <condense val="0"/>
        <extend val="0"/>
        <outline val="0"/>
        <shadow val="0"/>
        <u val="none"/>
        <vertAlign val="baseline"/>
        <sz val="11"/>
        <color rgb="FF1F1F1F"/>
        <name val="Times New Roman"/>
        <family val="1"/>
        <scheme val="none"/>
      </font>
      <numFmt numFmtId="2" formatCode="0.00"/>
      <alignment horizontal="center" vertical="center" textRotation="0" wrapText="1" indent="0" justifyLastLine="0" shrinkToFit="0" readingOrder="1"/>
      <border diagonalUp="0" diagonalDown="0" outline="0">
        <left style="medium">
          <color rgb="FFC4C7C5"/>
        </left>
        <right style="medium">
          <color rgb="FFC4C7C5"/>
        </right>
        <top style="medium">
          <color rgb="FFC4C7C5"/>
        </top>
        <bottom style="medium">
          <color rgb="FFC4C7C5"/>
        </bottom>
      </border>
    </dxf>
    <dxf>
      <font>
        <b val="0"/>
        <i val="0"/>
        <strike val="0"/>
        <condense val="0"/>
        <extend val="0"/>
        <outline val="0"/>
        <shadow val="0"/>
        <u val="none"/>
        <vertAlign val="baseline"/>
        <sz val="11"/>
        <color rgb="FF1F1F1F"/>
        <name val="Times New Roman"/>
        <family val="1"/>
        <scheme val="none"/>
      </font>
      <numFmt numFmtId="2" formatCode="0.00"/>
      <alignment horizontal="center" vertical="center" textRotation="0" wrapText="1" indent="0" justifyLastLine="0" shrinkToFit="0" readingOrder="1"/>
      <border diagonalUp="0" diagonalDown="0" outline="0">
        <left style="medium">
          <color rgb="FFC4C7C5"/>
        </left>
        <right style="medium">
          <color rgb="FFC4C7C5"/>
        </right>
        <top style="medium">
          <color rgb="FFC4C7C5"/>
        </top>
        <bottom style="medium">
          <color rgb="FFC4C7C5"/>
        </bottom>
      </border>
    </dxf>
    <dxf>
      <font>
        <b val="0"/>
        <i val="0"/>
        <strike val="0"/>
        <condense val="0"/>
        <extend val="0"/>
        <outline val="0"/>
        <shadow val="0"/>
        <u val="none"/>
        <vertAlign val="baseline"/>
        <sz val="11"/>
        <color rgb="FF1F1F1F"/>
        <name val="Times New Roman"/>
        <family val="1"/>
        <scheme val="none"/>
      </font>
      <numFmt numFmtId="2" formatCode="0.00"/>
      <alignment horizontal="center" vertical="center" textRotation="0" wrapText="1" indent="0" justifyLastLine="0" shrinkToFit="0" readingOrder="1"/>
      <border diagonalUp="0" diagonalDown="0" outline="0">
        <left style="medium">
          <color rgb="FFC4C7C5"/>
        </left>
        <right style="medium">
          <color rgb="FFC4C7C5"/>
        </right>
        <top style="medium">
          <color rgb="FFC4C7C5"/>
        </top>
        <bottom style="medium">
          <color rgb="FFC4C7C5"/>
        </bottom>
      </border>
    </dxf>
    <dxf>
      <font>
        <b val="0"/>
        <i val="0"/>
        <strike val="0"/>
        <condense val="0"/>
        <extend val="0"/>
        <outline val="0"/>
        <shadow val="0"/>
        <u val="none"/>
        <vertAlign val="baseline"/>
        <sz val="11"/>
        <color rgb="FF1F1F1F"/>
        <name val="Times New Roman"/>
        <family val="1"/>
        <scheme val="none"/>
      </font>
      <numFmt numFmtId="2" formatCode="0.00"/>
      <alignment horizontal="center" vertical="center" textRotation="0" wrapText="1" indent="0" justifyLastLine="0" shrinkToFit="0" readingOrder="1"/>
      <border diagonalUp="0" diagonalDown="0" outline="0">
        <left/>
        <right style="medium">
          <color rgb="FFC4C7C5"/>
        </right>
        <top style="medium">
          <color rgb="FFC4C7C5"/>
        </top>
        <bottom style="medium">
          <color rgb="FFC4C7C5"/>
        </bottom>
      </border>
    </dxf>
    <dxf>
      <border outline="0">
        <top style="medium">
          <color rgb="FFC4C7C5"/>
        </top>
      </border>
    </dxf>
    <dxf>
      <border outline="0">
        <bottom style="medium">
          <color rgb="FFC4C7C5"/>
        </bottom>
      </border>
    </dxf>
    <dxf>
      <border outline="0">
        <left style="medium">
          <color rgb="FFC4C7C5"/>
        </left>
        <right style="medium">
          <color rgb="FFC4C7C5"/>
        </right>
        <top style="medium">
          <color rgb="FFC4C7C5"/>
        </top>
        <bottom style="medium">
          <color rgb="FFC4C7C5"/>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[SQI.xlsx]SQI Pivot Table!PivotTable1</c:name>
    <c:fmtId val="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600" b="1" i="0" u="none" strike="noStrike" baseline="0"/>
              <a:t>Location-wise Soil Quality Index (SQI)</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'SQI Pivot Table'!$D$3</c:f>
              <c:strCache>
                <c:ptCount val="1"/>
                <c:pt idx="0">
                  <c:v>Total</c:v>
                </c:pt>
              </c:strCache>
            </c:strRef>
          </c:tx>
          <c:spPr>
            <a:solidFill>
              <a:schemeClr val="accent1"/>
            </a:solidFill>
            <a:ln>
              <a:noFill/>
            </a:ln>
            <a:effectLst/>
          </c:spPr>
          <c:invertIfNegative val="0"/>
          <c:cat>
            <c:strRef>
              <c:f>'SQI Pivot Table'!$C$4:$C$18</c:f>
              <c:strCache>
                <c:ptCount val="15"/>
                <c:pt idx="0">
                  <c:v>Beach lounge</c:v>
                </c:pt>
                <c:pt idx="1">
                  <c:v>Beach Park</c:v>
                </c:pt>
                <c:pt idx="2">
                  <c:v>Dominous Resort</c:v>
                </c:pt>
                <c:pt idx="3">
                  <c:v>Fakir group</c:v>
                </c:pt>
                <c:pt idx="4">
                  <c:v>Himchari viewpoint</c:v>
                </c:pt>
                <c:pt idx="5">
                  <c:v>Inani, Mohammad safi beel</c:v>
                </c:pt>
                <c:pt idx="6">
                  <c:v>Naf River Bank</c:v>
                </c:pt>
                <c:pt idx="7">
                  <c:v>Near 924F+GR8 Himchari</c:v>
                </c:pt>
                <c:pt idx="8">
                  <c:v>Near Shahpori dwip Bridge</c:v>
                </c:pt>
                <c:pt idx="9">
                  <c:v>North-western kolatoli</c:v>
                </c:pt>
                <c:pt idx="10">
                  <c:v>Ramada in Kolatoli</c:v>
                </c:pt>
                <c:pt idx="11">
                  <c:v>Seagull hotel Sughandha</c:v>
                </c:pt>
                <c:pt idx="12">
                  <c:v>Shah porir Island</c:v>
                </c:pt>
                <c:pt idx="13">
                  <c:v>Sughandha Main Point</c:v>
                </c:pt>
                <c:pt idx="14">
                  <c:v>Zilla Parishad Laboni beach</c:v>
                </c:pt>
              </c:strCache>
            </c:strRef>
          </c:cat>
          <c:val>
            <c:numRef>
              <c:f>'SQI Pivot Table'!$D$4:$D$18</c:f>
              <c:numCache>
                <c:formatCode>0.00</c:formatCode>
                <c:ptCount val="15"/>
                <c:pt idx="0">
                  <c:v>0.33100000000000002</c:v>
                </c:pt>
                <c:pt idx="1">
                  <c:v>0.35499999999999998</c:v>
                </c:pt>
                <c:pt idx="2">
                  <c:v>0.44700000000000001</c:v>
                </c:pt>
                <c:pt idx="3">
                  <c:v>0.41199999999999998</c:v>
                </c:pt>
                <c:pt idx="4">
                  <c:v>0.28799999999999998</c:v>
                </c:pt>
                <c:pt idx="5">
                  <c:v>0.373</c:v>
                </c:pt>
                <c:pt idx="6">
                  <c:v>0.42899999999999999</c:v>
                </c:pt>
                <c:pt idx="7">
                  <c:v>0.38300000000000001</c:v>
                </c:pt>
                <c:pt idx="8">
                  <c:v>0.36399999999999999</c:v>
                </c:pt>
                <c:pt idx="9">
                  <c:v>0.73399999999999999</c:v>
                </c:pt>
                <c:pt idx="10">
                  <c:v>0.35099999999999998</c:v>
                </c:pt>
                <c:pt idx="11">
                  <c:v>0.34100000000000003</c:v>
                </c:pt>
                <c:pt idx="12">
                  <c:v>0.38200000000000001</c:v>
                </c:pt>
                <c:pt idx="13">
                  <c:v>0.36299999999999999</c:v>
                </c:pt>
                <c:pt idx="14">
                  <c:v>0.32300000000000001</c:v>
                </c:pt>
              </c:numCache>
            </c:numRef>
          </c:val>
          <c:extLst>
            <c:ext xmlns:c16="http://schemas.microsoft.com/office/drawing/2014/chart" uri="{C3380CC4-5D6E-409C-BE32-E72D297353CC}">
              <c16:uniqueId val="{00000000-B3CB-44FA-AE8F-E2FD3DCF302F}"/>
            </c:ext>
          </c:extLst>
        </c:ser>
        <c:dLbls>
          <c:showLegendKey val="0"/>
          <c:showVal val="0"/>
          <c:showCatName val="0"/>
          <c:showSerName val="0"/>
          <c:showPercent val="0"/>
          <c:showBubbleSize val="0"/>
        </c:dLbls>
        <c:gapWidth val="182"/>
        <c:axId val="1847437200"/>
        <c:axId val="1779813552"/>
      </c:barChart>
      <c:catAx>
        <c:axId val="18474372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79813552"/>
        <c:crosses val="autoZero"/>
        <c:auto val="1"/>
        <c:lblAlgn val="ctr"/>
        <c:lblOffset val="100"/>
        <c:noMultiLvlLbl val="0"/>
      </c:catAx>
      <c:valAx>
        <c:axId val="17798135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43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[SQI.xlsx]SQI Pivot Table!PivotTable2</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latin typeface="Times New Roman" panose="02020603050405020304" pitchFamily="18" charset="0"/>
                <a:cs typeface="Times New Roman" panose="02020603050405020304" pitchFamily="18" charset="0"/>
              </a:rPr>
              <a:t>Soil Quality Class Distribution (%)</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50"/>
          </a:solidFill>
          <a:ln>
            <a:noFill/>
          </a:ln>
          <a:effectLst>
            <a:outerShdw blurRad="317500" algn="ctr" rotWithShape="0">
              <a:prstClr val="black">
                <a:alpha val="25000"/>
              </a:prstClr>
            </a:outerShdw>
          </a:effectLst>
        </c:spPr>
      </c:pivotFmt>
      <c:pivotFmt>
        <c:idx val="7"/>
        <c:spPr>
          <a:solidFill>
            <a:srgbClr val="FFC000"/>
          </a:solidFill>
          <a:ln>
            <a:noFill/>
          </a:ln>
          <a:effectLst>
            <a:outerShdw blurRad="317500" algn="ctr" rotWithShape="0">
              <a:prstClr val="black">
                <a:alpha val="25000"/>
              </a:prstClr>
            </a:outerShdw>
          </a:effectLst>
        </c:spPr>
      </c:pivotFmt>
      <c:pivotFmt>
        <c:idx val="8"/>
        <c:spPr>
          <a:solidFill>
            <a:srgbClr val="FF0000"/>
          </a:solidFill>
          <a:ln>
            <a:noFill/>
          </a:ln>
          <a:effectLst>
            <a:outerShdw blurRad="317500" algn="ctr" rotWithShape="0">
              <a:prstClr val="black">
                <a:alpha val="25000"/>
              </a:prstClr>
            </a:outerShdw>
          </a:effectLst>
        </c:spPr>
      </c:pivotFmt>
    </c:pivotFmts>
    <c:plotArea>
      <c:layout/>
      <c:doughnutChart>
        <c:varyColors val="1"/>
        <c:ser>
          <c:idx val="0"/>
          <c:order val="0"/>
          <c:tx>
            <c:strRef>
              <c:f>'SQI Pivot Table'!$G$3</c:f>
              <c:strCache>
                <c:ptCount val="1"/>
                <c:pt idx="0">
                  <c:v>Total</c:v>
                </c:pt>
              </c:strCache>
            </c:strRef>
          </c:tx>
          <c:dPt>
            <c:idx val="0"/>
            <c:bubble3D val="0"/>
            <c:spPr>
              <a:solidFill>
                <a:srgbClr val="00B05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97F-412A-9A03-542A1958B884}"/>
              </c:ext>
            </c:extLst>
          </c:dPt>
          <c:dPt>
            <c:idx val="1"/>
            <c:bubble3D val="0"/>
            <c:spPr>
              <a:solidFill>
                <a:srgbClr val="FFC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97F-412A-9A03-542A1958B884}"/>
              </c:ext>
            </c:extLst>
          </c:dPt>
          <c:dPt>
            <c:idx val="2"/>
            <c:bubble3D val="0"/>
            <c:spPr>
              <a:solidFill>
                <a:srgbClr val="FF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97F-412A-9A03-542A1958B88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'SQI Pivot Table'!$F$4:$F$6</c:f>
              <c:strCache>
                <c:ptCount val="3"/>
                <c:pt idx="0">
                  <c:v>Good</c:v>
                </c:pt>
                <c:pt idx="1">
                  <c:v>Moderate</c:v>
                </c:pt>
                <c:pt idx="2">
                  <c:v>Poor</c:v>
                </c:pt>
              </c:strCache>
            </c:strRef>
          </c:cat>
          <c:val>
            <c:numRef>
              <c:f>'SQI Pivot Table'!$G$4:$G$6</c:f>
              <c:numCache>
                <c:formatCode>General</c:formatCode>
                <c:ptCount val="3"/>
                <c:pt idx="0">
                  <c:v>1</c:v>
                </c:pt>
                <c:pt idx="1">
                  <c:v>3</c:v>
                </c:pt>
                <c:pt idx="2">
                  <c:v>11</c:v>
                </c:pt>
              </c:numCache>
            </c:numRef>
          </c:val>
          <c:extLst>
            <c:ext xmlns:c16="http://schemas.microsoft.com/office/drawing/2014/chart" uri="{C3380CC4-5D6E-409C-BE32-E72D297353CC}">
              <c16:uniqueId val="{00000006-897F-412A-9A03-542A1958B884}"/>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[SQI.xlsx]SQI Pivot Table!PivotTable3</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latin typeface="Times New Roman" panose="02020603050405020304" pitchFamily="18" charset="0"/>
                <a:cs typeface="Times New Roman" panose="02020603050405020304" pitchFamily="18" charset="0"/>
              </a:rPr>
              <a:t>Nutrient &amp; Physico-Chemical Parameter Scores</a:t>
            </a:r>
            <a:endParaRPr lang="en-US" sz="1600"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'SQI Pivot Table'!$J$3</c:f>
              <c:strCache>
                <c:ptCount val="1"/>
                <c:pt idx="0">
                  <c:v>Average of N Score</c:v>
                </c:pt>
              </c:strCache>
            </c:strRef>
          </c:tx>
          <c:spPr>
            <a:solidFill>
              <a:schemeClr val="accent1"/>
            </a:solidFill>
            <a:ln>
              <a:noFill/>
            </a:ln>
            <a:effectLst/>
          </c:spPr>
          <c:invertIfNegative val="0"/>
          <c:cat>
            <c:strRef>
              <c:f>'SQI Pivot Table'!$I$4:$I$18</c:f>
              <c:strCache>
                <c:ptCount val="15"/>
                <c:pt idx="0">
                  <c:v>Beach lounge</c:v>
                </c:pt>
                <c:pt idx="1">
                  <c:v>Beach Park</c:v>
                </c:pt>
                <c:pt idx="2">
                  <c:v>Dominous Resort</c:v>
                </c:pt>
                <c:pt idx="3">
                  <c:v>Fakir group</c:v>
                </c:pt>
                <c:pt idx="4">
                  <c:v>Himchari viewpoint</c:v>
                </c:pt>
                <c:pt idx="5">
                  <c:v>Inani, Mohammad safi beel</c:v>
                </c:pt>
                <c:pt idx="6">
                  <c:v>Naf River Bank</c:v>
                </c:pt>
                <c:pt idx="7">
                  <c:v>Near 924F+GR8 Himchari</c:v>
                </c:pt>
                <c:pt idx="8">
                  <c:v>Near Shahpori dwip Bridge</c:v>
                </c:pt>
                <c:pt idx="9">
                  <c:v>North-western kolatoli</c:v>
                </c:pt>
                <c:pt idx="10">
                  <c:v>Ramada in Kolatoli</c:v>
                </c:pt>
                <c:pt idx="11">
                  <c:v>Seagull hotel Sughandha</c:v>
                </c:pt>
                <c:pt idx="12">
                  <c:v>Shah porir Island</c:v>
                </c:pt>
                <c:pt idx="13">
                  <c:v>Sughandha Main Point</c:v>
                </c:pt>
                <c:pt idx="14">
                  <c:v>Zilla Parishad Laboni beach</c:v>
                </c:pt>
              </c:strCache>
            </c:strRef>
          </c:cat>
          <c:val>
            <c:numRef>
              <c:f>'SQI Pivot Table'!$J$4:$J$18</c:f>
              <c:numCache>
                <c:formatCode>0.00</c:formatCode>
                <c:ptCount val="15"/>
                <c:pt idx="0">
                  <c:v>8.9999999999999993E-3</c:v>
                </c:pt>
                <c:pt idx="1">
                  <c:v>0</c:v>
                </c:pt>
                <c:pt idx="2">
                  <c:v>5.3999999999999999E-2</c:v>
                </c:pt>
                <c:pt idx="3">
                  <c:v>0.188</c:v>
                </c:pt>
                <c:pt idx="4">
                  <c:v>0</c:v>
                </c:pt>
                <c:pt idx="5">
                  <c:v>1.7999999999999999E-2</c:v>
                </c:pt>
                <c:pt idx="6">
                  <c:v>0</c:v>
                </c:pt>
                <c:pt idx="7">
                  <c:v>0</c:v>
                </c:pt>
                <c:pt idx="8">
                  <c:v>0</c:v>
                </c:pt>
                <c:pt idx="9">
                  <c:v>1</c:v>
                </c:pt>
                <c:pt idx="10">
                  <c:v>1.7999999999999999E-2</c:v>
                </c:pt>
                <c:pt idx="11">
                  <c:v>0</c:v>
                </c:pt>
                <c:pt idx="12">
                  <c:v>0</c:v>
                </c:pt>
                <c:pt idx="13">
                  <c:v>6.3E-2</c:v>
                </c:pt>
                <c:pt idx="14">
                  <c:v>1.7999999999999999E-2</c:v>
                </c:pt>
              </c:numCache>
            </c:numRef>
          </c:val>
          <c:extLst>
            <c:ext xmlns:c16="http://schemas.microsoft.com/office/drawing/2014/chart" uri="{C3380CC4-5D6E-409C-BE32-E72D297353CC}">
              <c16:uniqueId val="{00000000-28CD-4041-919C-C1A6AE5B827A}"/>
            </c:ext>
          </c:extLst>
        </c:ser>
        <c:ser>
          <c:idx val="1"/>
          <c:order val="1"/>
          <c:tx>
            <c:strRef>
              <c:f>'SQI Pivot Table'!$K$3</c:f>
              <c:strCache>
                <c:ptCount val="1"/>
                <c:pt idx="0">
                  <c:v>Average of P Score</c:v>
                </c:pt>
              </c:strCache>
            </c:strRef>
          </c:tx>
          <c:spPr>
            <a:solidFill>
              <a:schemeClr val="accent2"/>
            </a:solidFill>
            <a:ln>
              <a:noFill/>
            </a:ln>
            <a:effectLst/>
          </c:spPr>
          <c:invertIfNegative val="0"/>
          <c:cat>
            <c:strRef>
              <c:f>'SQI Pivot Table'!$I$4:$I$18</c:f>
              <c:strCache>
                <c:ptCount val="15"/>
                <c:pt idx="0">
                  <c:v>Beach lounge</c:v>
                </c:pt>
                <c:pt idx="1">
                  <c:v>Beach Park</c:v>
                </c:pt>
                <c:pt idx="2">
                  <c:v>Dominous Resort</c:v>
                </c:pt>
                <c:pt idx="3">
                  <c:v>Fakir group</c:v>
                </c:pt>
                <c:pt idx="4">
                  <c:v>Himchari viewpoint</c:v>
                </c:pt>
                <c:pt idx="5">
                  <c:v>Inani, Mohammad safi beel</c:v>
                </c:pt>
                <c:pt idx="6">
                  <c:v>Naf River Bank</c:v>
                </c:pt>
                <c:pt idx="7">
                  <c:v>Near 924F+GR8 Himchari</c:v>
                </c:pt>
                <c:pt idx="8">
                  <c:v>Near Shahpori dwip Bridge</c:v>
                </c:pt>
                <c:pt idx="9">
                  <c:v>North-western kolatoli</c:v>
                </c:pt>
                <c:pt idx="10">
                  <c:v>Ramada in Kolatoli</c:v>
                </c:pt>
                <c:pt idx="11">
                  <c:v>Seagull hotel Sughandha</c:v>
                </c:pt>
                <c:pt idx="12">
                  <c:v>Shah porir Island</c:v>
                </c:pt>
                <c:pt idx="13">
                  <c:v>Sughandha Main Point</c:v>
                </c:pt>
                <c:pt idx="14">
                  <c:v>Zilla Parishad Laboni beach</c:v>
                </c:pt>
              </c:strCache>
            </c:strRef>
          </c:cat>
          <c:val>
            <c:numRef>
              <c:f>'SQI Pivot Table'!$K$4:$K$18</c:f>
              <c:numCache>
                <c:formatCode>0.00</c:formatCode>
                <c:ptCount val="15"/>
                <c:pt idx="0">
                  <c:v>0</c:v>
                </c:pt>
                <c:pt idx="1">
                  <c:v>0</c:v>
                </c:pt>
                <c:pt idx="2">
                  <c:v>5.8000000000000003E-2</c:v>
                </c:pt>
                <c:pt idx="3">
                  <c:v>0.19500000000000001</c:v>
                </c:pt>
                <c:pt idx="4">
                  <c:v>0</c:v>
                </c:pt>
                <c:pt idx="5">
                  <c:v>1.9E-2</c:v>
                </c:pt>
                <c:pt idx="6">
                  <c:v>0</c:v>
                </c:pt>
                <c:pt idx="7">
                  <c:v>0</c:v>
                </c:pt>
                <c:pt idx="8">
                  <c:v>0</c:v>
                </c:pt>
                <c:pt idx="9">
                  <c:v>1</c:v>
                </c:pt>
                <c:pt idx="10">
                  <c:v>1.9E-2</c:v>
                </c:pt>
                <c:pt idx="11">
                  <c:v>0</c:v>
                </c:pt>
                <c:pt idx="12">
                  <c:v>0</c:v>
                </c:pt>
                <c:pt idx="13">
                  <c:v>6.5000000000000002E-2</c:v>
                </c:pt>
                <c:pt idx="14">
                  <c:v>1.2999999999999999E-2</c:v>
                </c:pt>
              </c:numCache>
            </c:numRef>
          </c:val>
          <c:extLst>
            <c:ext xmlns:c16="http://schemas.microsoft.com/office/drawing/2014/chart" uri="{C3380CC4-5D6E-409C-BE32-E72D297353CC}">
              <c16:uniqueId val="{00000001-28CD-4041-919C-C1A6AE5B827A}"/>
            </c:ext>
          </c:extLst>
        </c:ser>
        <c:ser>
          <c:idx val="2"/>
          <c:order val="2"/>
          <c:tx>
            <c:strRef>
              <c:f>'SQI Pivot Table'!$L$3</c:f>
              <c:strCache>
                <c:ptCount val="1"/>
                <c:pt idx="0">
                  <c:v>Average of K Score</c:v>
                </c:pt>
              </c:strCache>
            </c:strRef>
          </c:tx>
          <c:spPr>
            <a:solidFill>
              <a:schemeClr val="accent3"/>
            </a:solidFill>
            <a:ln>
              <a:noFill/>
            </a:ln>
            <a:effectLst/>
          </c:spPr>
          <c:invertIfNegative val="0"/>
          <c:cat>
            <c:strRef>
              <c:f>'SQI Pivot Table'!$I$4:$I$18</c:f>
              <c:strCache>
                <c:ptCount val="15"/>
                <c:pt idx="0">
                  <c:v>Beach lounge</c:v>
                </c:pt>
                <c:pt idx="1">
                  <c:v>Beach Park</c:v>
                </c:pt>
                <c:pt idx="2">
                  <c:v>Dominous Resort</c:v>
                </c:pt>
                <c:pt idx="3">
                  <c:v>Fakir group</c:v>
                </c:pt>
                <c:pt idx="4">
                  <c:v>Himchari viewpoint</c:v>
                </c:pt>
                <c:pt idx="5">
                  <c:v>Inani, Mohammad safi beel</c:v>
                </c:pt>
                <c:pt idx="6">
                  <c:v>Naf River Bank</c:v>
                </c:pt>
                <c:pt idx="7">
                  <c:v>Near 924F+GR8 Himchari</c:v>
                </c:pt>
                <c:pt idx="8">
                  <c:v>Near Shahpori dwip Bridge</c:v>
                </c:pt>
                <c:pt idx="9">
                  <c:v>North-western kolatoli</c:v>
                </c:pt>
                <c:pt idx="10">
                  <c:v>Ramada in Kolatoli</c:v>
                </c:pt>
                <c:pt idx="11">
                  <c:v>Seagull hotel Sughandha</c:v>
                </c:pt>
                <c:pt idx="12">
                  <c:v>Shah porir Island</c:v>
                </c:pt>
                <c:pt idx="13">
                  <c:v>Sughandha Main Point</c:v>
                </c:pt>
                <c:pt idx="14">
                  <c:v>Zilla Parishad Laboni beach</c:v>
                </c:pt>
              </c:strCache>
            </c:strRef>
          </c:cat>
          <c:val>
            <c:numRef>
              <c:f>'SQI Pivot Table'!$L$4:$L$18</c:f>
              <c:numCache>
                <c:formatCode>0.00</c:formatCode>
                <c:ptCount val="15"/>
                <c:pt idx="0">
                  <c:v>0</c:v>
                </c:pt>
                <c:pt idx="1">
                  <c:v>0</c:v>
                </c:pt>
                <c:pt idx="2">
                  <c:v>7.3999999999999996E-2</c:v>
                </c:pt>
                <c:pt idx="3">
                  <c:v>0.23799999999999999</c:v>
                </c:pt>
                <c:pt idx="4">
                  <c:v>0</c:v>
                </c:pt>
                <c:pt idx="5">
                  <c:v>2.3E-2</c:v>
                </c:pt>
                <c:pt idx="6">
                  <c:v>0</c:v>
                </c:pt>
                <c:pt idx="7">
                  <c:v>4.0000000000000001E-3</c:v>
                </c:pt>
                <c:pt idx="8">
                  <c:v>0</c:v>
                </c:pt>
                <c:pt idx="9">
                  <c:v>1</c:v>
                </c:pt>
                <c:pt idx="10">
                  <c:v>2.7E-2</c:v>
                </c:pt>
                <c:pt idx="11">
                  <c:v>0</c:v>
                </c:pt>
                <c:pt idx="12">
                  <c:v>0</c:v>
                </c:pt>
                <c:pt idx="13">
                  <c:v>8.2000000000000003E-2</c:v>
                </c:pt>
                <c:pt idx="14">
                  <c:v>1.6E-2</c:v>
                </c:pt>
              </c:numCache>
            </c:numRef>
          </c:val>
          <c:extLst>
            <c:ext xmlns:c16="http://schemas.microsoft.com/office/drawing/2014/chart" uri="{C3380CC4-5D6E-409C-BE32-E72D297353CC}">
              <c16:uniqueId val="{00000002-28CD-4041-919C-C1A6AE5B827A}"/>
            </c:ext>
          </c:extLst>
        </c:ser>
        <c:ser>
          <c:idx val="3"/>
          <c:order val="3"/>
          <c:tx>
            <c:strRef>
              <c:f>'SQI Pivot Table'!$M$3</c:f>
              <c:strCache>
                <c:ptCount val="1"/>
                <c:pt idx="0">
                  <c:v>Average of pH Score</c:v>
                </c:pt>
              </c:strCache>
            </c:strRef>
          </c:tx>
          <c:spPr>
            <a:solidFill>
              <a:schemeClr val="accent4"/>
            </a:solidFill>
            <a:ln>
              <a:noFill/>
            </a:ln>
            <a:effectLst/>
          </c:spPr>
          <c:invertIfNegative val="0"/>
          <c:cat>
            <c:strRef>
              <c:f>'SQI Pivot Table'!$I$4:$I$18</c:f>
              <c:strCache>
                <c:ptCount val="15"/>
                <c:pt idx="0">
                  <c:v>Beach lounge</c:v>
                </c:pt>
                <c:pt idx="1">
                  <c:v>Beach Park</c:v>
                </c:pt>
                <c:pt idx="2">
                  <c:v>Dominous Resort</c:v>
                </c:pt>
                <c:pt idx="3">
                  <c:v>Fakir group</c:v>
                </c:pt>
                <c:pt idx="4">
                  <c:v>Himchari viewpoint</c:v>
                </c:pt>
                <c:pt idx="5">
                  <c:v>Inani, Mohammad safi beel</c:v>
                </c:pt>
                <c:pt idx="6">
                  <c:v>Naf River Bank</c:v>
                </c:pt>
                <c:pt idx="7">
                  <c:v>Near 924F+GR8 Himchari</c:v>
                </c:pt>
                <c:pt idx="8">
                  <c:v>Near Shahpori dwip Bridge</c:v>
                </c:pt>
                <c:pt idx="9">
                  <c:v>North-western kolatoli</c:v>
                </c:pt>
                <c:pt idx="10">
                  <c:v>Ramada in Kolatoli</c:v>
                </c:pt>
                <c:pt idx="11">
                  <c:v>Seagull hotel Sughandha</c:v>
                </c:pt>
                <c:pt idx="12">
                  <c:v>Shah porir Island</c:v>
                </c:pt>
                <c:pt idx="13">
                  <c:v>Sughandha Main Point</c:v>
                </c:pt>
                <c:pt idx="14">
                  <c:v>Zilla Parishad Laboni beach</c:v>
                </c:pt>
              </c:strCache>
            </c:strRef>
          </c:cat>
          <c:val>
            <c:numRef>
              <c:f>'SQI Pivot Table'!$M$4:$M$18</c:f>
              <c:numCache>
                <c:formatCode>0.00</c:formatCode>
                <c:ptCount val="15"/>
                <c:pt idx="0">
                  <c:v>0.91600000000000004</c:v>
                </c:pt>
                <c:pt idx="1">
                  <c:v>0.92</c:v>
                </c:pt>
                <c:pt idx="2">
                  <c:v>0.90700000000000003</c:v>
                </c:pt>
                <c:pt idx="3">
                  <c:v>0.96</c:v>
                </c:pt>
                <c:pt idx="4">
                  <c:v>0.94299999999999995</c:v>
                </c:pt>
                <c:pt idx="5">
                  <c:v>0.91900000000000004</c:v>
                </c:pt>
                <c:pt idx="6">
                  <c:v>1</c:v>
                </c:pt>
                <c:pt idx="7">
                  <c:v>0.95599999999999996</c:v>
                </c:pt>
                <c:pt idx="8">
                  <c:v>0.88900000000000001</c:v>
                </c:pt>
                <c:pt idx="9">
                  <c:v>0.93</c:v>
                </c:pt>
                <c:pt idx="10">
                  <c:v>0.84</c:v>
                </c:pt>
                <c:pt idx="11">
                  <c:v>0.94299999999999995</c:v>
                </c:pt>
                <c:pt idx="12">
                  <c:v>0.95599999999999996</c:v>
                </c:pt>
                <c:pt idx="13">
                  <c:v>0.77400000000000002</c:v>
                </c:pt>
                <c:pt idx="14">
                  <c:v>0.93899999999999995</c:v>
                </c:pt>
              </c:numCache>
            </c:numRef>
          </c:val>
          <c:extLst>
            <c:ext xmlns:c16="http://schemas.microsoft.com/office/drawing/2014/chart" uri="{C3380CC4-5D6E-409C-BE32-E72D297353CC}">
              <c16:uniqueId val="{00000003-28CD-4041-919C-C1A6AE5B827A}"/>
            </c:ext>
          </c:extLst>
        </c:ser>
        <c:ser>
          <c:idx val="4"/>
          <c:order val="4"/>
          <c:tx>
            <c:strRef>
              <c:f>'SQI Pivot Table'!$N$3</c:f>
              <c:strCache>
                <c:ptCount val="1"/>
                <c:pt idx="0">
                  <c:v>Average of EC Score</c:v>
                </c:pt>
              </c:strCache>
            </c:strRef>
          </c:tx>
          <c:spPr>
            <a:solidFill>
              <a:schemeClr val="accent5"/>
            </a:solidFill>
            <a:ln>
              <a:noFill/>
            </a:ln>
            <a:effectLst/>
          </c:spPr>
          <c:invertIfNegative val="0"/>
          <c:cat>
            <c:strRef>
              <c:f>'SQI Pivot Table'!$I$4:$I$18</c:f>
              <c:strCache>
                <c:ptCount val="15"/>
                <c:pt idx="0">
                  <c:v>Beach lounge</c:v>
                </c:pt>
                <c:pt idx="1">
                  <c:v>Beach Park</c:v>
                </c:pt>
                <c:pt idx="2">
                  <c:v>Dominous Resort</c:v>
                </c:pt>
                <c:pt idx="3">
                  <c:v>Fakir group</c:v>
                </c:pt>
                <c:pt idx="4">
                  <c:v>Himchari viewpoint</c:v>
                </c:pt>
                <c:pt idx="5">
                  <c:v>Inani, Mohammad safi beel</c:v>
                </c:pt>
                <c:pt idx="6">
                  <c:v>Naf River Bank</c:v>
                </c:pt>
                <c:pt idx="7">
                  <c:v>Near 924F+GR8 Himchari</c:v>
                </c:pt>
                <c:pt idx="8">
                  <c:v>Near Shahpori dwip Bridge</c:v>
                </c:pt>
                <c:pt idx="9">
                  <c:v>North-western kolatoli</c:v>
                </c:pt>
                <c:pt idx="10">
                  <c:v>Ramada in Kolatoli</c:v>
                </c:pt>
                <c:pt idx="11">
                  <c:v>Seagull hotel Sughandha</c:v>
                </c:pt>
                <c:pt idx="12">
                  <c:v>Shah porir Island</c:v>
                </c:pt>
                <c:pt idx="13">
                  <c:v>Sughandha Main Point</c:v>
                </c:pt>
                <c:pt idx="14">
                  <c:v>Zilla Parishad Laboni beach</c:v>
                </c:pt>
              </c:strCache>
            </c:strRef>
          </c:cat>
          <c:val>
            <c:numRef>
              <c:f>'SQI Pivot Table'!$N$4:$N$18</c:f>
              <c:numCache>
                <c:formatCode>0.00</c:formatCode>
                <c:ptCount val="15"/>
                <c:pt idx="0">
                  <c:v>1</c:v>
                </c:pt>
                <c:pt idx="1">
                  <c:v>1</c:v>
                </c:pt>
                <c:pt idx="2">
                  <c:v>0.99</c:v>
                </c:pt>
                <c:pt idx="3">
                  <c:v>0.96899999999999997</c:v>
                </c:pt>
                <c:pt idx="4">
                  <c:v>1</c:v>
                </c:pt>
                <c:pt idx="5">
                  <c:v>0.997</c:v>
                </c:pt>
                <c:pt idx="6">
                  <c:v>0</c:v>
                </c:pt>
                <c:pt idx="7">
                  <c:v>0.999</c:v>
                </c:pt>
                <c:pt idx="8">
                  <c:v>0</c:v>
                </c:pt>
                <c:pt idx="9">
                  <c:v>0.998</c:v>
                </c:pt>
                <c:pt idx="10">
                  <c:v>0.996</c:v>
                </c:pt>
                <c:pt idx="11">
                  <c:v>1</c:v>
                </c:pt>
                <c:pt idx="12">
                  <c:v>0</c:v>
                </c:pt>
                <c:pt idx="13">
                  <c:v>0.98899999999999999</c:v>
                </c:pt>
                <c:pt idx="14">
                  <c:v>0.998</c:v>
                </c:pt>
              </c:numCache>
            </c:numRef>
          </c:val>
          <c:extLst>
            <c:ext xmlns:c16="http://schemas.microsoft.com/office/drawing/2014/chart" uri="{C3380CC4-5D6E-409C-BE32-E72D297353CC}">
              <c16:uniqueId val="{00000004-28CD-4041-919C-C1A6AE5B827A}"/>
            </c:ext>
          </c:extLst>
        </c:ser>
        <c:dLbls>
          <c:showLegendKey val="0"/>
          <c:showVal val="0"/>
          <c:showCatName val="0"/>
          <c:showSerName val="0"/>
          <c:showPercent val="0"/>
          <c:showBubbleSize val="0"/>
        </c:dLbls>
        <c:gapWidth val="150"/>
        <c:overlap val="100"/>
        <c:axId val="2089805968"/>
        <c:axId val="1849477424"/>
      </c:barChart>
      <c:catAx>
        <c:axId val="208980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49477424"/>
        <c:crosses val="autoZero"/>
        <c:auto val="1"/>
        <c:lblAlgn val="ctr"/>
        <c:lblOffset val="100"/>
        <c:noMultiLvlLbl val="0"/>
      </c:catAx>
      <c:valAx>
        <c:axId val="18494774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805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318655</xdr:colOff>
      <xdr:row>3</xdr:row>
      <xdr:rowOff>152400</xdr:rowOff>
    </xdr:from>
    <xdr:to>
      <xdr:col>36</xdr:col>
      <xdr:colOff>221674</xdr:colOff>
      <xdr:row>25</xdr:row>
      <xdr:rowOff>167053</xdr:rowOff>
    </xdr:to>
    <xdr:grpSp>
      <xdr:nvGrpSpPr>
        <xdr:cNvPr id="11" name="Group 10">
          <a:extLst>
            <a:ext uri="{FF2B5EF4-FFF2-40B4-BE49-F238E27FC236}">
              <a16:creationId xmlns:a16="http://schemas.microsoft.com/office/drawing/2014/main" id="{A76F5F75-E4B0-3429-5679-35BD4DAE179F}"/>
            </a:ext>
          </a:extLst>
        </xdr:cNvPr>
        <xdr:cNvGrpSpPr/>
      </xdr:nvGrpSpPr>
      <xdr:grpSpPr>
        <a:xfrm>
          <a:off x="2775252" y="698310"/>
          <a:ext cx="19555795" cy="4017997"/>
          <a:chOff x="2272145" y="554181"/>
          <a:chExt cx="19410219" cy="3977053"/>
        </a:xfrm>
      </xdr:grpSpPr>
      <xdr:grpSp>
        <xdr:nvGrpSpPr>
          <xdr:cNvPr id="8" name="Group 7">
            <a:extLst>
              <a:ext uri="{FF2B5EF4-FFF2-40B4-BE49-F238E27FC236}">
                <a16:creationId xmlns:a16="http://schemas.microsoft.com/office/drawing/2014/main" id="{A10F4898-5CCC-C0F0-F599-B8313AEA6AAB}"/>
              </a:ext>
            </a:extLst>
          </xdr:cNvPr>
          <xdr:cNvGrpSpPr/>
        </xdr:nvGrpSpPr>
        <xdr:grpSpPr>
          <a:xfrm>
            <a:off x="2282537" y="1205346"/>
            <a:ext cx="19390146" cy="3325888"/>
            <a:chOff x="1118755" y="1233055"/>
            <a:chExt cx="19390146" cy="3325888"/>
          </a:xfrm>
        </xdr:grpSpPr>
        <xdr:graphicFrame macro="">
          <xdr:nvGraphicFramePr>
            <xdr:cNvPr id="2" name="Chart 1">
              <a:extLst>
                <a:ext uri="{FF2B5EF4-FFF2-40B4-BE49-F238E27FC236}">
                  <a16:creationId xmlns:a16="http://schemas.microsoft.com/office/drawing/2014/main" id="{C00ADA43-BEAD-459F-9321-69B4117C8C99}"/>
                </a:ext>
              </a:extLst>
            </xdr:cNvPr>
            <xdr:cNvGraphicFramePr>
              <a:graphicFrameLocks/>
            </xdr:cNvGraphicFramePr>
          </xdr:nvGraphicFramePr>
          <xdr:xfrm>
            <a:off x="4768735" y="1240675"/>
            <a:ext cx="4686822" cy="331747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ECCBFBDF-7B33-41FF-8EE3-813E5265831E}"/>
                </a:ext>
              </a:extLst>
            </xdr:cNvPr>
            <xdr:cNvGraphicFramePr>
              <a:graphicFrameLocks/>
            </xdr:cNvGraphicFramePr>
          </xdr:nvGraphicFramePr>
          <xdr:xfrm>
            <a:off x="15018326" y="1233055"/>
            <a:ext cx="5490575" cy="332509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7E26F518-5D61-40F3-9C0A-6A6057185DC3}"/>
                </a:ext>
              </a:extLst>
            </xdr:cNvPr>
            <xdr:cNvGraphicFramePr>
              <a:graphicFrameLocks/>
            </xdr:cNvGraphicFramePr>
          </xdr:nvGraphicFramePr>
          <xdr:xfrm>
            <a:off x="9462655" y="1233055"/>
            <a:ext cx="5563643" cy="3325888"/>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graphicFrame macro="">
              <xdr:nvGraphicFramePr>
                <xdr:cNvPr id="6" name="Local Name 1">
                  <a:extLst>
                    <a:ext uri="{FF2B5EF4-FFF2-40B4-BE49-F238E27FC236}">
                      <a16:creationId xmlns:a16="http://schemas.microsoft.com/office/drawing/2014/main" id="{EAC19B9F-8F5C-48AD-9AAF-7897B84C3F61}"/>
                    </a:ext>
                  </a:extLst>
                </xdr:cNvPr>
                <xdr:cNvGraphicFramePr/>
              </xdr:nvGraphicFramePr>
              <xdr:xfrm>
                <a:off x="1118755" y="1258687"/>
                <a:ext cx="1828800" cy="3299458"/>
              </xdr:xfrm>
              <a:graphic>
                <a:graphicData uri="http://schemas.microsoft.com/office/drawing/2010/slicer">
                  <sle:slicer xmlns:sle="http://schemas.microsoft.com/office/drawing/2010/slicer" name="Local Name 1"/>
                </a:graphicData>
              </a:graphic>
            </xdr:graphicFrame>
          </mc:Choice>
          <mc:Fallback>
            <xdr:sp macro="" textlink="">
              <xdr:nvSpPr>
                <xdr:cNvPr id="0" name=""/>
                <xdr:cNvSpPr>
                  <a:spLocks noTextEdit="1"/>
                </xdr:cNvSpPr>
              </xdr:nvSpPr>
              <xdr:spPr>
                <a:xfrm>
                  <a:off x="2785722" y="1382075"/>
                  <a:ext cx="1842516" cy="3333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Soil Quality Class 1">
                  <a:extLst>
                    <a:ext uri="{FF2B5EF4-FFF2-40B4-BE49-F238E27FC236}">
                      <a16:creationId xmlns:a16="http://schemas.microsoft.com/office/drawing/2014/main" id="{30989071-58FF-4120-8BA6-D933D2705045}"/>
                    </a:ext>
                  </a:extLst>
                </xdr:cNvPr>
                <xdr:cNvGraphicFramePr/>
              </xdr:nvGraphicFramePr>
              <xdr:xfrm>
                <a:off x="2950325" y="1255915"/>
                <a:ext cx="1828800" cy="3302230"/>
              </xdr:xfrm>
              <a:graphic>
                <a:graphicData uri="http://schemas.microsoft.com/office/drawing/2010/slicer">
                  <sle:slicer xmlns:sle="http://schemas.microsoft.com/office/drawing/2010/slicer" name="Soil Quality Class 1"/>
                </a:graphicData>
              </a:graphic>
            </xdr:graphicFrame>
          </mc:Choice>
          <mc:Fallback>
            <xdr:sp macro="" textlink="">
              <xdr:nvSpPr>
                <xdr:cNvPr id="0" name=""/>
                <xdr:cNvSpPr>
                  <a:spLocks noTextEdit="1"/>
                </xdr:cNvSpPr>
              </xdr:nvSpPr>
              <xdr:spPr>
                <a:xfrm>
                  <a:off x="4631029" y="1379274"/>
                  <a:ext cx="1842516" cy="33362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10" name="Group 9">
            <a:extLst>
              <a:ext uri="{FF2B5EF4-FFF2-40B4-BE49-F238E27FC236}">
                <a16:creationId xmlns:a16="http://schemas.microsoft.com/office/drawing/2014/main" id="{E32C40A8-86F0-0F2B-E6D4-6AE5CC4A114B}"/>
              </a:ext>
            </a:extLst>
          </xdr:cNvPr>
          <xdr:cNvGrpSpPr/>
        </xdr:nvGrpSpPr>
        <xdr:grpSpPr>
          <a:xfrm>
            <a:off x="2272145" y="554181"/>
            <a:ext cx="19410219" cy="651164"/>
            <a:chOff x="2161309" y="554181"/>
            <a:chExt cx="19687309" cy="651164"/>
          </a:xfrm>
        </xdr:grpSpPr>
        <xdr:sp macro="" textlink="">
          <xdr:nvSpPr>
            <xdr:cNvPr id="9" name="Rectangle 8">
              <a:extLst>
                <a:ext uri="{FF2B5EF4-FFF2-40B4-BE49-F238E27FC236}">
                  <a16:creationId xmlns:a16="http://schemas.microsoft.com/office/drawing/2014/main" id="{69C2F4BB-9548-FEFD-90CE-161B306F46B5}"/>
                </a:ext>
              </a:extLst>
            </xdr:cNvPr>
            <xdr:cNvSpPr/>
          </xdr:nvSpPr>
          <xdr:spPr>
            <a:xfrm>
              <a:off x="2161309" y="554181"/>
              <a:ext cx="19687309" cy="651164"/>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xdr:sp macro="" textlink="">
          <xdr:nvSpPr>
            <xdr:cNvPr id="3074" name="Text Box 2">
              <a:extLst>
                <a:ext uri="{FF2B5EF4-FFF2-40B4-BE49-F238E27FC236}">
                  <a16:creationId xmlns:a16="http://schemas.microsoft.com/office/drawing/2014/main" id="{C98465A8-DDB3-2C1F-79E8-67276E53F76D}"/>
                </a:ext>
              </a:extLst>
            </xdr:cNvPr>
            <xdr:cNvSpPr txBox="1">
              <a:spLocks noChangeArrowheads="1"/>
            </xdr:cNvSpPr>
          </xdr:nvSpPr>
          <xdr:spPr bwMode="auto">
            <a:xfrm rot="10800000" flipV="1">
              <a:off x="5961583" y="634712"/>
              <a:ext cx="11707091" cy="429490"/>
            </a:xfrm>
            <a:prstGeom prst="rect">
              <a:avLst/>
            </a:prstGeom>
            <a:noFill/>
            <a:ln w="9525">
              <a:noFill/>
              <a:miter lim="800000"/>
              <a:headEnd/>
              <a:tailEnd/>
            </a:ln>
          </xdr:spPr>
          <xdr:txBody>
            <a:bodyPr vertOverflow="clip" wrap="square" lIns="27432" tIns="18288" rIns="0" bIns="0" anchor="t" upright="1"/>
            <a:lstStyle/>
            <a:p>
              <a:pPr algn="ctr" rtl="0">
                <a:defRPr sz="1000"/>
              </a:pPr>
              <a:r>
                <a:rPr lang="en-US" sz="3200" b="1" i="0" u="none" strike="noStrike" baseline="0">
                  <a:solidFill>
                    <a:srgbClr val="000000"/>
                  </a:solidFill>
                  <a:latin typeface="Times New Roman" panose="02020603050405020304" pitchFamily="18" charset="0"/>
                  <a:ea typeface="Calibri"/>
                  <a:cs typeface="Times New Roman" panose="02020603050405020304" pitchFamily="18" charset="0"/>
                </a:rPr>
                <a:t>SOIL QUALITY INDEX (SQI) ASSESSMENT DASHBOARD</a:t>
              </a: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9.622824074075" createdVersion="8" refreshedVersion="8" minRefreshableVersion="3" recordCount="15" xr:uid="{8B24B559-B98D-4228-AA30-BD00A279ABCA}">
  <cacheSource type="worksheet">
    <worksheetSource name="Table1"/>
  </cacheSource>
  <cacheFields count="10">
    <cacheField name="Local Name" numFmtId="2">
      <sharedItems count="15">
        <s v="Ramada in Kolatoli"/>
        <s v="Fakir group"/>
        <s v="Beach lounge"/>
        <s v="North-western kolatoli"/>
        <s v="Sughandha Main Point"/>
        <s v="Seagull hotel Sughandha"/>
        <s v="Dominous Resort"/>
        <s v="Zilla Parishad Laboni beach"/>
        <s v="Beach Park"/>
        <s v="Himchari viewpoint"/>
        <s v="Near 924F+GR8 Himchari"/>
        <s v="Inani, Mohammad safi beel"/>
        <s v="Shah porir Island"/>
        <s v="Naf River Bank"/>
        <s v="Near Shahpori dwip Bridge"/>
      </sharedItems>
    </cacheField>
    <cacheField name="N Score" numFmtId="2">
      <sharedItems containsSemiMixedTypes="0" containsString="0" containsNumber="1" minValue="0" maxValue="1"/>
    </cacheField>
    <cacheField name="P Score" numFmtId="2">
      <sharedItems containsSemiMixedTypes="0" containsString="0" containsNumber="1" minValue="0" maxValue="1"/>
    </cacheField>
    <cacheField name="K Score" numFmtId="2">
      <sharedItems containsSemiMixedTypes="0" containsString="0" containsNumber="1" minValue="0" maxValue="1"/>
    </cacheField>
    <cacheField name="pH Score" numFmtId="2">
      <sharedItems containsSemiMixedTypes="0" containsString="0" containsNumber="1" minValue="0.77400000000000002" maxValue="1"/>
    </cacheField>
    <cacheField name="Temp Score" numFmtId="2">
      <sharedItems containsSemiMixedTypes="0" containsString="0" containsNumber="1" minValue="0" maxValue="1"/>
    </cacheField>
    <cacheField name="EC Score" numFmtId="2">
      <sharedItems containsSemiMixedTypes="0" containsString="0" containsNumber="1" minValue="0" maxValue="1"/>
    </cacheField>
    <cacheField name="Humidity Score" numFmtId="2">
      <sharedItems containsSemiMixedTypes="0" containsString="0" containsNumber="1" minValue="0" maxValue="1"/>
    </cacheField>
    <cacheField name="SQI" numFmtId="2">
      <sharedItems containsSemiMixedTypes="0" containsString="0" containsNumber="1" minValue="0.28799999999999998" maxValue="0.73399999999999999"/>
    </cacheField>
    <cacheField name="Soil Quality Class" numFmtId="2">
      <sharedItems count="3">
        <s v="Poor"/>
        <s v="Moderate"/>
        <s v="Good"/>
      </sharedItems>
    </cacheField>
  </cacheFields>
  <extLst>
    <ext xmlns:x14="http://schemas.microsoft.com/office/spreadsheetml/2009/9/main" uri="{725AE2AE-9491-48be-B2B4-4EB974FC3084}">
      <x14:pivotCacheDefinition pivotCacheId="15686121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1.7999999999999999E-2"/>
    <n v="1.9E-2"/>
    <n v="2.7E-2"/>
    <n v="0.84"/>
    <n v="0.47099999999999997"/>
    <n v="0.996"/>
    <n v="8.5000000000000006E-2"/>
    <n v="0.35099999999999998"/>
    <x v="0"/>
  </r>
  <r>
    <x v="1"/>
    <n v="0.188"/>
    <n v="0.19500000000000001"/>
    <n v="0.23799999999999999"/>
    <n v="0.96"/>
    <n v="0.29399999999999998"/>
    <n v="0.96899999999999997"/>
    <n v="4.2999999999999997E-2"/>
    <n v="0.41199999999999998"/>
    <x v="1"/>
  </r>
  <r>
    <x v="2"/>
    <n v="8.9999999999999993E-3"/>
    <n v="0"/>
    <n v="0"/>
    <n v="0.91600000000000004"/>
    <n v="0.35299999999999998"/>
    <n v="1"/>
    <n v="3.5999999999999997E-2"/>
    <n v="0.33100000000000002"/>
    <x v="0"/>
  </r>
  <r>
    <x v="3"/>
    <n v="1"/>
    <n v="1"/>
    <n v="1"/>
    <n v="0.93"/>
    <n v="0.13200000000000001"/>
    <n v="0.998"/>
    <n v="7.4999999999999997E-2"/>
    <n v="0.73399999999999999"/>
    <x v="2"/>
  </r>
  <r>
    <x v="4"/>
    <n v="6.3E-2"/>
    <n v="6.5000000000000002E-2"/>
    <n v="8.2000000000000003E-2"/>
    <n v="0.77400000000000002"/>
    <n v="0.60299999999999998"/>
    <n v="0.98899999999999999"/>
    <n v="6.7000000000000004E-2"/>
    <n v="0.36299999999999999"/>
    <x v="0"/>
  </r>
  <r>
    <x v="5"/>
    <n v="0"/>
    <n v="0"/>
    <n v="0"/>
    <n v="0.94299999999999995"/>
    <n v="0.38200000000000001"/>
    <n v="1"/>
    <n v="6.5000000000000002E-2"/>
    <n v="0.34100000000000003"/>
    <x v="0"/>
  </r>
  <r>
    <x v="6"/>
    <n v="5.3999999999999999E-2"/>
    <n v="5.8000000000000003E-2"/>
    <n v="7.3999999999999996E-2"/>
    <n v="0.90700000000000003"/>
    <n v="0.95599999999999996"/>
    <n v="0.99"/>
    <n v="8.8999999999999996E-2"/>
    <n v="0.44700000000000001"/>
    <x v="1"/>
  </r>
  <r>
    <x v="7"/>
    <n v="1.7999999999999999E-2"/>
    <n v="1.2999999999999999E-2"/>
    <n v="1.6E-2"/>
    <n v="0.93899999999999995"/>
    <n v="0.25"/>
    <n v="0.998"/>
    <n v="0.03"/>
    <n v="0.32300000000000001"/>
    <x v="0"/>
  </r>
  <r>
    <x v="8"/>
    <n v="0"/>
    <n v="0"/>
    <n v="0"/>
    <n v="0.92"/>
    <n v="0.54400000000000004"/>
    <n v="1"/>
    <n v="2.4E-2"/>
    <n v="0.35499999999999998"/>
    <x v="0"/>
  </r>
  <r>
    <x v="9"/>
    <n v="0"/>
    <n v="0"/>
    <n v="0"/>
    <n v="0.94299999999999995"/>
    <n v="0"/>
    <n v="1"/>
    <n v="7.0999999999999994E-2"/>
    <n v="0.28799999999999998"/>
    <x v="0"/>
  </r>
  <r>
    <x v="10"/>
    <n v="0"/>
    <n v="0"/>
    <n v="4.0000000000000001E-3"/>
    <n v="0.95599999999999996"/>
    <n v="0.72099999999999997"/>
    <n v="0.999"/>
    <n v="0"/>
    <n v="0.38300000000000001"/>
    <x v="0"/>
  </r>
  <r>
    <x v="11"/>
    <n v="1.7999999999999999E-2"/>
    <n v="1.9E-2"/>
    <n v="2.3E-2"/>
    <n v="0.91900000000000004"/>
    <n v="0.61799999999999999"/>
    <n v="0.997"/>
    <n v="4.8000000000000001E-2"/>
    <n v="0.373"/>
    <x v="0"/>
  </r>
  <r>
    <x v="12"/>
    <n v="0"/>
    <n v="0"/>
    <n v="0"/>
    <n v="0.95599999999999996"/>
    <n v="0.72099999999999997"/>
    <n v="0"/>
    <n v="1"/>
    <n v="0.38200000000000001"/>
    <x v="0"/>
  </r>
  <r>
    <x v="13"/>
    <n v="0"/>
    <n v="0"/>
    <n v="0"/>
    <n v="1"/>
    <n v="1"/>
    <n v="0"/>
    <n v="1"/>
    <n v="0.42899999999999999"/>
    <x v="1"/>
  </r>
  <r>
    <x v="14"/>
    <n v="0"/>
    <n v="0"/>
    <n v="0"/>
    <n v="0.88900000000000001"/>
    <n v="0.66200000000000003"/>
    <n v="0"/>
    <n v="1"/>
    <n v="0.3639999999999999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455D27-8279-41C5-93DB-136588F27DD4}" name="PivotTable3"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I3:N18" firstHeaderRow="0" firstDataRow="1" firstDataCol="1"/>
  <pivotFields count="10">
    <pivotField axis="axisRow" compact="0" outline="0" showAll="0">
      <items count="16">
        <item x="2"/>
        <item x="8"/>
        <item x="6"/>
        <item x="1"/>
        <item x="9"/>
        <item x="11"/>
        <item x="13"/>
        <item x="10"/>
        <item x="14"/>
        <item x="3"/>
        <item x="0"/>
        <item x="5"/>
        <item x="12"/>
        <item x="4"/>
        <item x="7"/>
        <item t="default"/>
      </items>
    </pivotField>
    <pivotField dataField="1" compact="0" numFmtId="2" outline="0" showAll="0"/>
    <pivotField dataField="1" compact="0" numFmtId="2" outline="0" showAll="0"/>
    <pivotField dataField="1" compact="0" numFmtId="2" outline="0" showAll="0"/>
    <pivotField dataField="1" compact="0" numFmtId="2" outline="0" showAll="0"/>
    <pivotField compact="0" numFmtId="2" outline="0" showAll="0"/>
    <pivotField dataField="1" compact="0" numFmtId="2" outline="0" showAll="0"/>
    <pivotField compact="0" numFmtId="2" outline="0" showAll="0"/>
    <pivotField compact="0" numFmtId="2" outline="0" showAll="0"/>
    <pivotField compact="0" outline="0" showAll="0">
      <items count="4">
        <item x="2"/>
        <item x="1"/>
        <item x="0"/>
        <item t="default"/>
      </items>
    </pivotField>
  </pivotFields>
  <rowFields count="1">
    <field x="0"/>
  </rowFields>
  <rowItems count="15">
    <i>
      <x/>
    </i>
    <i>
      <x v="1"/>
    </i>
    <i>
      <x v="2"/>
    </i>
    <i>
      <x v="3"/>
    </i>
    <i>
      <x v="4"/>
    </i>
    <i>
      <x v="5"/>
    </i>
    <i>
      <x v="6"/>
    </i>
    <i>
      <x v="7"/>
    </i>
    <i>
      <x v="8"/>
    </i>
    <i>
      <x v="9"/>
    </i>
    <i>
      <x v="10"/>
    </i>
    <i>
      <x v="11"/>
    </i>
    <i>
      <x v="12"/>
    </i>
    <i>
      <x v="13"/>
    </i>
    <i>
      <x v="14"/>
    </i>
  </rowItems>
  <colFields count="1">
    <field x="-2"/>
  </colFields>
  <colItems count="5">
    <i>
      <x/>
    </i>
    <i i="1">
      <x v="1"/>
    </i>
    <i i="2">
      <x v="2"/>
    </i>
    <i i="3">
      <x v="3"/>
    </i>
    <i i="4">
      <x v="4"/>
    </i>
  </colItems>
  <dataFields count="5">
    <dataField name="Average of N Score" fld="1" subtotal="average" baseField="0" baseItem="0" numFmtId="2"/>
    <dataField name="Average of P Score" fld="2" subtotal="average" baseField="0" baseItem="0" numFmtId="2"/>
    <dataField name="Average of K Score" fld="3" subtotal="average" baseField="0" baseItem="0" numFmtId="2"/>
    <dataField name="Average of pH Score" fld="4" subtotal="average" baseField="0" baseItem="0" numFmtId="2"/>
    <dataField name="Average of EC Score" fld="6" subtotal="average" baseField="0" baseItem="0" numFmtId="2"/>
  </dataFields>
  <formats count="6">
    <format dxfId="5">
      <pivotArea field="0" type="button" dataOnly="0" labelOnly="1" outline="0" axis="axisRow" fieldPosition="0"/>
    </format>
    <format dxfId="4">
      <pivotArea dataOnly="0" labelOnly="1" outline="0" fieldPosition="0">
        <references count="1">
          <reference field="4294967294" count="5">
            <x v="0"/>
            <x v="1"/>
            <x v="2"/>
            <x v="3"/>
            <x v="4"/>
          </reference>
        </references>
      </pivotArea>
    </format>
    <format dxfId="3">
      <pivotArea field="0" type="button" dataOnly="0" labelOnly="1" outline="0" axis="axisRow" fieldPosition="0"/>
    </format>
    <format dxfId="2">
      <pivotArea dataOnly="0" labelOnly="1" outline="0" fieldPosition="0">
        <references count="1">
          <reference field="4294967294" count="5">
            <x v="0"/>
            <x v="1"/>
            <x v="2"/>
            <x v="3"/>
            <x v="4"/>
          </reference>
        </references>
      </pivotArea>
    </format>
    <format dxfId="1">
      <pivotArea field="0" type="button" dataOnly="0" labelOnly="1" outline="0" axis="axisRow" fieldPosition="0"/>
    </format>
    <format dxfId="0">
      <pivotArea dataOnly="0" labelOnly="1" outline="0" fieldPosition="0">
        <references count="1">
          <reference field="4294967294" count="5">
            <x v="0"/>
            <x v="1"/>
            <x v="2"/>
            <x v="3"/>
            <x v="4"/>
          </reference>
        </references>
      </pivotArea>
    </format>
  </formats>
  <chartFormats count="5">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 chart="6" format="12" series="1">
      <pivotArea type="data" outline="0" fieldPosition="0">
        <references count="1">
          <reference field="4294967294" count="1" selected="0">
            <x v="2"/>
          </reference>
        </references>
      </pivotArea>
    </chartFormat>
    <chartFormat chart="6" format="13" series="1">
      <pivotArea type="data" outline="0" fieldPosition="0">
        <references count="1">
          <reference field="4294967294" count="1" selected="0">
            <x v="3"/>
          </reference>
        </references>
      </pivotArea>
    </chartFormat>
    <chartFormat chart="6" format="14" series="1">
      <pivotArea type="data" outline="0" fieldPosition="0">
        <references count="1">
          <reference field="4294967294" count="1" selected="0">
            <x v="4"/>
          </reference>
        </references>
      </pivotArea>
    </chartFormat>
  </chartFormats>
  <pivotTableStyleInfo name="PivotStyleMedium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24451D-7207-4381-B3A9-381BD9D83F84}" name="PivotTable2"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F3:G6" firstHeaderRow="1" firstDataRow="1" firstDataCol="1"/>
  <pivotFields count="10">
    <pivotField dataField="1" compact="0" outline="0" showAll="0">
      <items count="16">
        <item x="2"/>
        <item x="8"/>
        <item x="6"/>
        <item x="1"/>
        <item x="9"/>
        <item x="11"/>
        <item x="13"/>
        <item x="10"/>
        <item x="14"/>
        <item x="3"/>
        <item x="0"/>
        <item x="5"/>
        <item x="12"/>
        <item x="4"/>
        <item x="7"/>
        <item t="default"/>
      </items>
    </pivotField>
    <pivotField compact="0" numFmtId="2" outline="0" showAll="0"/>
    <pivotField compact="0" numFmtId="2" outline="0" showAll="0"/>
    <pivotField compact="0" numFmtId="2" outline="0" showAll="0"/>
    <pivotField compact="0" numFmtId="2" outline="0" showAll="0"/>
    <pivotField compact="0" numFmtId="2" outline="0" showAll="0"/>
    <pivotField compact="0" numFmtId="2" outline="0" showAll="0"/>
    <pivotField compact="0" numFmtId="2" outline="0" showAll="0"/>
    <pivotField compact="0" numFmtId="2" outline="0" showAll="0"/>
    <pivotField axis="axisRow" compact="0" outline="0" showAll="0">
      <items count="4">
        <item x="2"/>
        <item x="1"/>
        <item x="0"/>
        <item t="default"/>
      </items>
    </pivotField>
  </pivotFields>
  <rowFields count="1">
    <field x="9"/>
  </rowFields>
  <rowItems count="3">
    <i>
      <x/>
    </i>
    <i>
      <x v="1"/>
    </i>
    <i>
      <x v="2"/>
    </i>
  </rowItems>
  <colItems count="1">
    <i/>
  </colItems>
  <dataFields count="1">
    <dataField name="Count of Local Name" fld="0" subtotal="count" baseField="0" baseItem="0"/>
  </dataFields>
  <formats count="8">
    <format dxfId="26">
      <pivotArea field="9" type="button" dataOnly="0" labelOnly="1" outline="0" axis="axisRow" fieldPosition="0"/>
    </format>
    <format dxfId="25">
      <pivotArea dataOnly="0" labelOnly="1" outline="0" axis="axisValues" fieldPosition="0"/>
    </format>
    <format dxfId="14">
      <pivotArea field="9" type="button" dataOnly="0" labelOnly="1" outline="0" axis="axisRow" fieldPosition="0"/>
    </format>
    <format dxfId="13">
      <pivotArea dataOnly="0" labelOnly="1" outline="0" axis="axisValues" fieldPosition="0"/>
    </format>
    <format dxfId="11">
      <pivotArea field="9" type="button" dataOnly="0" labelOnly="1" outline="0" axis="axisRow" fieldPosition="0"/>
    </format>
    <format dxfId="10">
      <pivotArea dataOnly="0" labelOnly="1" outline="0" axis="axisValues" fieldPosition="0"/>
    </format>
    <format dxfId="8">
      <pivotArea field="9" type="button" dataOnly="0" labelOnly="1" outline="0" axis="axisRow" fieldPosition="0"/>
    </format>
    <format dxfId="7">
      <pivotArea dataOnly="0" labelOnly="1" outline="0" axis="axisValues"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9" count="1" selected="0">
            <x v="0"/>
          </reference>
        </references>
      </pivotArea>
    </chartFormat>
    <chartFormat chart="6" format="7">
      <pivotArea type="data" outline="0" fieldPosition="0">
        <references count="2">
          <reference field="4294967294" count="1" selected="0">
            <x v="0"/>
          </reference>
          <reference field="9" count="1" selected="0">
            <x v="1"/>
          </reference>
        </references>
      </pivotArea>
    </chartFormat>
    <chartFormat chart="6" format="8">
      <pivotArea type="data" outline="0" fieldPosition="0">
        <references count="2">
          <reference field="4294967294" count="1" selected="0">
            <x v="0"/>
          </reference>
          <reference field="9" count="1" selected="0">
            <x v="2"/>
          </reference>
        </references>
      </pivotArea>
    </chartFormat>
  </chartFormats>
  <pivotTableStyleInfo name="PivotStyleMedium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5675B4-36E5-490D-8933-C5F58C3B7658}"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C3:D18" firstHeaderRow="1" firstDataRow="1" firstDataCol="1"/>
  <pivotFields count="10">
    <pivotField axis="axisRow" compact="0" outline="0" showAll="0">
      <items count="16">
        <item x="2"/>
        <item x="8"/>
        <item x="6"/>
        <item x="1"/>
        <item x="9"/>
        <item x="11"/>
        <item x="13"/>
        <item x="10"/>
        <item x="14"/>
        <item x="3"/>
        <item x="0"/>
        <item x="5"/>
        <item x="12"/>
        <item x="4"/>
        <item x="7"/>
        <item t="default"/>
      </items>
    </pivotField>
    <pivotField compact="0" numFmtId="2" outline="0" showAll="0"/>
    <pivotField compact="0" numFmtId="2" outline="0" showAll="0"/>
    <pivotField compact="0" numFmtId="2" outline="0" showAll="0"/>
    <pivotField compact="0" numFmtId="2" outline="0" showAll="0"/>
    <pivotField compact="0" numFmtId="2" outline="0" showAll="0"/>
    <pivotField compact="0" numFmtId="2" outline="0" showAll="0"/>
    <pivotField compact="0" numFmtId="2" outline="0" showAll="0"/>
    <pivotField dataField="1" compact="0" numFmtId="2" outline="0" showAll="0"/>
    <pivotField compact="0" outline="0" showAll="0">
      <items count="4">
        <item x="2"/>
        <item x="1"/>
        <item x="0"/>
        <item t="default"/>
      </items>
    </pivotField>
  </pivotFields>
  <rowFields count="1">
    <field x="0"/>
  </rowFields>
  <rowItems count="15">
    <i>
      <x/>
    </i>
    <i>
      <x v="1"/>
    </i>
    <i>
      <x v="2"/>
    </i>
    <i>
      <x v="3"/>
    </i>
    <i>
      <x v="4"/>
    </i>
    <i>
      <x v="5"/>
    </i>
    <i>
      <x v="6"/>
    </i>
    <i>
      <x v="7"/>
    </i>
    <i>
      <x v="8"/>
    </i>
    <i>
      <x v="9"/>
    </i>
    <i>
      <x v="10"/>
    </i>
    <i>
      <x v="11"/>
    </i>
    <i>
      <x v="12"/>
    </i>
    <i>
      <x v="13"/>
    </i>
    <i>
      <x v="14"/>
    </i>
  </rowItems>
  <colItems count="1">
    <i/>
  </colItems>
  <dataFields count="1">
    <dataField name="Average of SQI" fld="8" subtotal="average" baseField="0" baseItem="0" numFmtId="2"/>
  </dataFields>
  <formats count="13">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outline="0" fieldPosition="0">
        <references count="1">
          <reference field="0" count="0"/>
        </references>
      </pivotArea>
    </format>
    <format dxfId="31">
      <pivotArea dataOnly="0" labelOnly="1" outline="0" axis="axisValues" fieldPosition="0"/>
    </format>
    <format dxfId="29">
      <pivotArea field="0" type="button" dataOnly="0" labelOnly="1" outline="0" axis="axisRow" fieldPosition="0"/>
    </format>
    <format dxfId="28">
      <pivotArea dataOnly="0" labelOnly="1" outline="0" axis="axisValues" fieldPosition="0"/>
    </format>
    <format dxfId="23">
      <pivotArea field="0" type="button" dataOnly="0" labelOnly="1" outline="0" axis="axisRow" fieldPosition="0"/>
    </format>
    <format dxfId="22">
      <pivotArea dataOnly="0" labelOnly="1" outline="0" axis="axisValues" fieldPosition="0"/>
    </format>
    <format dxfId="20">
      <pivotArea field="0" type="button" dataOnly="0" labelOnly="1" outline="0" axis="axisRow" fieldPosition="0"/>
    </format>
    <format dxfId="19">
      <pivotArea dataOnly="0" labelOnly="1" outline="0" axis="axisValues" fieldPosition="0"/>
    </format>
    <format dxfId="17">
      <pivotArea field="0" type="button" dataOnly="0" labelOnly="1" outline="0" axis="axisRow" fieldPosition="0"/>
    </format>
    <format dxfId="1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Medium3"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_Name" xr10:uid="{E38EE71A-3185-4DAD-B6CC-3AC156452D40}" sourceName="Local Name">
  <pivotTables>
    <pivotTable tabId="2" name="PivotTable1"/>
    <pivotTable tabId="2" name="PivotTable3"/>
  </pivotTables>
  <data>
    <tabular pivotCacheId="1568612170">
      <items count="15">
        <i x="2" s="1"/>
        <i x="8" s="1"/>
        <i x="6" s="1"/>
        <i x="1" s="1"/>
        <i x="9" s="1"/>
        <i x="11" s="1"/>
        <i x="13" s="1"/>
        <i x="10" s="1"/>
        <i x="14" s="1"/>
        <i x="3" s="1"/>
        <i x="0" s="1"/>
        <i x="5" s="1"/>
        <i x="12"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il_Quality_Class" xr10:uid="{DA2C4739-B009-4613-859C-05A841C8832D}" sourceName="Soil Quality Class">
  <pivotTables>
    <pivotTable tabId="2" name="PivotTable1"/>
    <pivotTable tabId="2" name="PivotTable3"/>
  </pivotTables>
  <data>
    <tabular pivotCacheId="1568612170">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l Name 1" xr10:uid="{5067184B-F90B-427F-8BF0-F6D99D393EBD}" cache="Slicer_Local_Name" caption="Local Name" style="SlicerStyleDark2" rowHeight="234950"/>
  <slicer name="Soil Quality Class 1" xr10:uid="{96F7BB37-A3E2-484B-B24E-115DFB21E60A}" cache="Slicer_Soil_Quality_Class" caption="Soil Quality Class"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7DBC93-651A-4340-8D25-5A7EF5562EC2}" name="Table1" displayName="Table1" ref="A1:J16" totalsRowShown="0" headerRowDxfId="37" dataDxfId="36" headerRowBorderDxfId="49" tableBorderDxfId="50" totalsRowBorderDxfId="48">
  <autoFilter ref="A1:J16" xr:uid="{9B7DBC93-651A-4340-8D25-5A7EF5562EC2}"/>
  <tableColumns count="10">
    <tableColumn id="1" xr3:uid="{7EC32FAA-0C44-4AD2-883C-51E1C2B3B52D}" name="Local Name" dataDxfId="47"/>
    <tableColumn id="2" xr3:uid="{6E7CAE0B-28F4-4EDB-8995-5A34E1F8D1AA}" name="N Score" dataDxfId="46"/>
    <tableColumn id="3" xr3:uid="{44F3CAB7-F4B6-4FF9-A9BD-00568BF34A21}" name="P Score" dataDxfId="45"/>
    <tableColumn id="4" xr3:uid="{77687124-887B-442F-9A20-F2DBE0181644}" name="K Score" dataDxfId="44"/>
    <tableColumn id="5" xr3:uid="{EF084500-67A9-47BD-AA17-2AFE224279CA}" name="pH Score" dataDxfId="43"/>
    <tableColumn id="6" xr3:uid="{25B33655-8270-4F6D-B118-936B692F63F2}" name="Temp Score" dataDxfId="42"/>
    <tableColumn id="7" xr3:uid="{842519D8-E4BD-4C9A-93F3-A1C6C62BF2E6}" name="EC Score" dataDxfId="41"/>
    <tableColumn id="8" xr3:uid="{9A78FD96-0203-4503-88D0-5E15BCAABDEB}" name="Humidity Score" dataDxfId="40"/>
    <tableColumn id="9" xr3:uid="{A8558753-7269-4AAA-8BF1-88609BDE83C4}" name="SQI" dataDxfId="39"/>
    <tableColumn id="10" xr3:uid="{BDD90DFD-3CC6-4691-A4C4-AE6A7B485E29}" name="Soil Quality Class" dataDxfId="38"/>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J16"/>
  <sheetViews>
    <sheetView zoomScale="76" workbookViewId="0">
      <selection activeCell="D27" sqref="D27"/>
    </sheetView>
  </sheetViews>
  <sheetFormatPr defaultRowHeight="14.4" x14ac:dyDescent="0.3"/>
  <cols>
    <col min="1" max="1" width="24.6640625" customWidth="1"/>
    <col min="2" max="2" width="18.5546875" customWidth="1"/>
    <col min="3" max="3" width="20" customWidth="1"/>
    <col min="4" max="4" width="16.77734375" customWidth="1"/>
    <col min="5" max="5" width="21.109375" customWidth="1"/>
    <col min="6" max="6" width="26" customWidth="1"/>
    <col min="7" max="7" width="21.88671875" customWidth="1"/>
    <col min="8" max="8" width="31.6640625" customWidth="1"/>
    <col min="9" max="9" width="15.6640625" customWidth="1"/>
    <col min="10" max="10" width="34.21875" customWidth="1"/>
  </cols>
  <sheetData>
    <row r="1" spans="1:10" ht="21.6" thickBot="1" x14ac:dyDescent="0.35">
      <c r="A1" s="1" t="s">
        <v>0</v>
      </c>
      <c r="B1" s="2" t="s">
        <v>1</v>
      </c>
      <c r="C1" s="2" t="s">
        <v>2</v>
      </c>
      <c r="D1" s="2" t="s">
        <v>3</v>
      </c>
      <c r="E1" s="2" t="s">
        <v>4</v>
      </c>
      <c r="F1" s="2" t="s">
        <v>5</v>
      </c>
      <c r="G1" s="2" t="s">
        <v>6</v>
      </c>
      <c r="H1" s="2" t="s">
        <v>7</v>
      </c>
      <c r="I1" s="2" t="s">
        <v>8</v>
      </c>
      <c r="J1" s="3" t="s">
        <v>9</v>
      </c>
    </row>
    <row r="2" spans="1:10" ht="15" thickBot="1" x14ac:dyDescent="0.35">
      <c r="A2" s="4" t="s">
        <v>10</v>
      </c>
      <c r="B2" s="5">
        <v>1.7999999999999999E-2</v>
      </c>
      <c r="C2" s="5">
        <v>1.9E-2</v>
      </c>
      <c r="D2" s="5">
        <v>2.7E-2</v>
      </c>
      <c r="E2" s="5">
        <v>0.84</v>
      </c>
      <c r="F2" s="5">
        <v>0.47099999999999997</v>
      </c>
      <c r="G2" s="5">
        <v>0.996</v>
      </c>
      <c r="H2" s="5">
        <v>8.5000000000000006E-2</v>
      </c>
      <c r="I2" s="6">
        <v>0.35099999999999998</v>
      </c>
      <c r="J2" s="7" t="s">
        <v>11</v>
      </c>
    </row>
    <row r="3" spans="1:10" ht="15" thickBot="1" x14ac:dyDescent="0.35">
      <c r="A3" s="4" t="s">
        <v>12</v>
      </c>
      <c r="B3" s="5">
        <v>0.188</v>
      </c>
      <c r="C3" s="5">
        <v>0.19500000000000001</v>
      </c>
      <c r="D3" s="5">
        <v>0.23799999999999999</v>
      </c>
      <c r="E3" s="5">
        <v>0.96</v>
      </c>
      <c r="F3" s="5">
        <v>0.29399999999999998</v>
      </c>
      <c r="G3" s="5">
        <v>0.96899999999999997</v>
      </c>
      <c r="H3" s="5">
        <v>4.2999999999999997E-2</v>
      </c>
      <c r="I3" s="6">
        <v>0.41199999999999998</v>
      </c>
      <c r="J3" s="7" t="s">
        <v>13</v>
      </c>
    </row>
    <row r="4" spans="1:10" ht="15" thickBot="1" x14ac:dyDescent="0.35">
      <c r="A4" s="4" t="s">
        <v>14</v>
      </c>
      <c r="B4" s="5">
        <v>8.9999999999999993E-3</v>
      </c>
      <c r="C4" s="5">
        <v>0</v>
      </c>
      <c r="D4" s="5">
        <v>0</v>
      </c>
      <c r="E4" s="5">
        <v>0.91600000000000004</v>
      </c>
      <c r="F4" s="5">
        <v>0.35299999999999998</v>
      </c>
      <c r="G4" s="5">
        <v>1</v>
      </c>
      <c r="H4" s="5">
        <v>3.5999999999999997E-2</v>
      </c>
      <c r="I4" s="6">
        <v>0.33100000000000002</v>
      </c>
      <c r="J4" s="7" t="s">
        <v>11</v>
      </c>
    </row>
    <row r="5" spans="1:10" ht="15" thickBot="1" x14ac:dyDescent="0.35">
      <c r="A5" s="4" t="s">
        <v>15</v>
      </c>
      <c r="B5" s="5">
        <v>1</v>
      </c>
      <c r="C5" s="5">
        <v>1</v>
      </c>
      <c r="D5" s="5">
        <v>1</v>
      </c>
      <c r="E5" s="5">
        <v>0.93</v>
      </c>
      <c r="F5" s="5">
        <v>0.13200000000000001</v>
      </c>
      <c r="G5" s="5">
        <v>0.998</v>
      </c>
      <c r="H5" s="5">
        <v>7.4999999999999997E-2</v>
      </c>
      <c r="I5" s="6">
        <v>0.73399999999999999</v>
      </c>
      <c r="J5" s="7" t="s">
        <v>16</v>
      </c>
    </row>
    <row r="6" spans="1:10" ht="15" thickBot="1" x14ac:dyDescent="0.35">
      <c r="A6" s="4" t="s">
        <v>17</v>
      </c>
      <c r="B6" s="5">
        <v>6.3E-2</v>
      </c>
      <c r="C6" s="5">
        <v>6.5000000000000002E-2</v>
      </c>
      <c r="D6" s="5">
        <v>8.2000000000000003E-2</v>
      </c>
      <c r="E6" s="5">
        <v>0.77400000000000002</v>
      </c>
      <c r="F6" s="5">
        <v>0.60299999999999998</v>
      </c>
      <c r="G6" s="5">
        <v>0.98899999999999999</v>
      </c>
      <c r="H6" s="5">
        <v>6.7000000000000004E-2</v>
      </c>
      <c r="I6" s="6">
        <v>0.36299999999999999</v>
      </c>
      <c r="J6" s="7" t="s">
        <v>11</v>
      </c>
    </row>
    <row r="7" spans="1:10" ht="15" thickBot="1" x14ac:dyDescent="0.35">
      <c r="A7" s="4" t="s">
        <v>18</v>
      </c>
      <c r="B7" s="5">
        <v>0</v>
      </c>
      <c r="C7" s="5">
        <v>0</v>
      </c>
      <c r="D7" s="5">
        <v>0</v>
      </c>
      <c r="E7" s="5">
        <v>0.94299999999999995</v>
      </c>
      <c r="F7" s="5">
        <v>0.38200000000000001</v>
      </c>
      <c r="G7" s="5">
        <v>1</v>
      </c>
      <c r="H7" s="5">
        <v>6.5000000000000002E-2</v>
      </c>
      <c r="I7" s="6">
        <v>0.34100000000000003</v>
      </c>
      <c r="J7" s="7" t="s">
        <v>11</v>
      </c>
    </row>
    <row r="8" spans="1:10" ht="15" thickBot="1" x14ac:dyDescent="0.35">
      <c r="A8" s="4" t="s">
        <v>19</v>
      </c>
      <c r="B8" s="5">
        <v>5.3999999999999999E-2</v>
      </c>
      <c r="C8" s="5">
        <v>5.8000000000000003E-2</v>
      </c>
      <c r="D8" s="5">
        <v>7.3999999999999996E-2</v>
      </c>
      <c r="E8" s="5">
        <v>0.90700000000000003</v>
      </c>
      <c r="F8" s="5">
        <v>0.95599999999999996</v>
      </c>
      <c r="G8" s="5">
        <v>0.99</v>
      </c>
      <c r="H8" s="5">
        <v>8.8999999999999996E-2</v>
      </c>
      <c r="I8" s="6">
        <v>0.44700000000000001</v>
      </c>
      <c r="J8" s="7" t="s">
        <v>13</v>
      </c>
    </row>
    <row r="9" spans="1:10" ht="15" thickBot="1" x14ac:dyDescent="0.35">
      <c r="A9" s="4" t="s">
        <v>20</v>
      </c>
      <c r="B9" s="5">
        <v>1.7999999999999999E-2</v>
      </c>
      <c r="C9" s="5">
        <v>1.2999999999999999E-2</v>
      </c>
      <c r="D9" s="5">
        <v>1.6E-2</v>
      </c>
      <c r="E9" s="5">
        <v>0.93899999999999995</v>
      </c>
      <c r="F9" s="5">
        <v>0.25</v>
      </c>
      <c r="G9" s="5">
        <v>0.998</v>
      </c>
      <c r="H9" s="5">
        <v>0.03</v>
      </c>
      <c r="I9" s="6">
        <v>0.32300000000000001</v>
      </c>
      <c r="J9" s="7" t="s">
        <v>11</v>
      </c>
    </row>
    <row r="10" spans="1:10" ht="15" thickBot="1" x14ac:dyDescent="0.35">
      <c r="A10" s="4" t="s">
        <v>21</v>
      </c>
      <c r="B10" s="5">
        <v>0</v>
      </c>
      <c r="C10" s="5">
        <v>0</v>
      </c>
      <c r="D10" s="5">
        <v>0</v>
      </c>
      <c r="E10" s="5">
        <v>0.92</v>
      </c>
      <c r="F10" s="5">
        <v>0.54400000000000004</v>
      </c>
      <c r="G10" s="5">
        <v>1</v>
      </c>
      <c r="H10" s="5">
        <v>2.4E-2</v>
      </c>
      <c r="I10" s="6">
        <v>0.35499999999999998</v>
      </c>
      <c r="J10" s="7" t="s">
        <v>11</v>
      </c>
    </row>
    <row r="11" spans="1:10" ht="15" thickBot="1" x14ac:dyDescent="0.35">
      <c r="A11" s="4" t="s">
        <v>22</v>
      </c>
      <c r="B11" s="5">
        <v>0</v>
      </c>
      <c r="C11" s="5">
        <v>0</v>
      </c>
      <c r="D11" s="5">
        <v>0</v>
      </c>
      <c r="E11" s="5">
        <v>0.94299999999999995</v>
      </c>
      <c r="F11" s="5">
        <v>0</v>
      </c>
      <c r="G11" s="5">
        <v>1</v>
      </c>
      <c r="H11" s="5">
        <v>7.0999999999999994E-2</v>
      </c>
      <c r="I11" s="6">
        <v>0.28799999999999998</v>
      </c>
      <c r="J11" s="7" t="s">
        <v>11</v>
      </c>
    </row>
    <row r="12" spans="1:10" ht="15" thickBot="1" x14ac:dyDescent="0.35">
      <c r="A12" s="4" t="s">
        <v>23</v>
      </c>
      <c r="B12" s="5">
        <v>0</v>
      </c>
      <c r="C12" s="5">
        <v>0</v>
      </c>
      <c r="D12" s="5">
        <v>4.0000000000000001E-3</v>
      </c>
      <c r="E12" s="5">
        <v>0.95599999999999996</v>
      </c>
      <c r="F12" s="5">
        <v>0.72099999999999997</v>
      </c>
      <c r="G12" s="5">
        <v>0.999</v>
      </c>
      <c r="H12" s="5">
        <v>0</v>
      </c>
      <c r="I12" s="6">
        <v>0.38300000000000001</v>
      </c>
      <c r="J12" s="7" t="s">
        <v>11</v>
      </c>
    </row>
    <row r="13" spans="1:10" ht="15" thickBot="1" x14ac:dyDescent="0.35">
      <c r="A13" s="4" t="s">
        <v>24</v>
      </c>
      <c r="B13" s="5">
        <v>1.7999999999999999E-2</v>
      </c>
      <c r="C13" s="5">
        <v>1.9E-2</v>
      </c>
      <c r="D13" s="5">
        <v>2.3E-2</v>
      </c>
      <c r="E13" s="5">
        <v>0.91900000000000004</v>
      </c>
      <c r="F13" s="5">
        <v>0.61799999999999999</v>
      </c>
      <c r="G13" s="5">
        <v>0.997</v>
      </c>
      <c r="H13" s="5">
        <v>4.8000000000000001E-2</v>
      </c>
      <c r="I13" s="6">
        <v>0.373</v>
      </c>
      <c r="J13" s="7" t="s">
        <v>11</v>
      </c>
    </row>
    <row r="14" spans="1:10" ht="15" thickBot="1" x14ac:dyDescent="0.35">
      <c r="A14" s="4" t="s">
        <v>25</v>
      </c>
      <c r="B14" s="5">
        <v>0</v>
      </c>
      <c r="C14" s="5">
        <v>0</v>
      </c>
      <c r="D14" s="5">
        <v>0</v>
      </c>
      <c r="E14" s="5">
        <v>0.95599999999999996</v>
      </c>
      <c r="F14" s="5">
        <v>0.72099999999999997</v>
      </c>
      <c r="G14" s="5">
        <v>0</v>
      </c>
      <c r="H14" s="5">
        <v>1</v>
      </c>
      <c r="I14" s="6">
        <v>0.38200000000000001</v>
      </c>
      <c r="J14" s="7" t="s">
        <v>11</v>
      </c>
    </row>
    <row r="15" spans="1:10" ht="15" thickBot="1" x14ac:dyDescent="0.35">
      <c r="A15" s="4" t="s">
        <v>26</v>
      </c>
      <c r="B15" s="5">
        <v>0</v>
      </c>
      <c r="C15" s="5">
        <v>0</v>
      </c>
      <c r="D15" s="5">
        <v>0</v>
      </c>
      <c r="E15" s="5">
        <v>1</v>
      </c>
      <c r="F15" s="5">
        <v>1</v>
      </c>
      <c r="G15" s="5">
        <v>0</v>
      </c>
      <c r="H15" s="5">
        <v>1</v>
      </c>
      <c r="I15" s="6">
        <v>0.42899999999999999</v>
      </c>
      <c r="J15" s="7" t="s">
        <v>13</v>
      </c>
    </row>
    <row r="16" spans="1:10" x14ac:dyDescent="0.3">
      <c r="A16" s="8" t="s">
        <v>27</v>
      </c>
      <c r="B16" s="9">
        <v>0</v>
      </c>
      <c r="C16" s="9">
        <v>0</v>
      </c>
      <c r="D16" s="9">
        <v>0</v>
      </c>
      <c r="E16" s="9">
        <v>0.88900000000000001</v>
      </c>
      <c r="F16" s="9">
        <v>0.66200000000000003</v>
      </c>
      <c r="G16" s="9">
        <v>0</v>
      </c>
      <c r="H16" s="9">
        <v>1</v>
      </c>
      <c r="I16" s="10">
        <v>0.36399999999999999</v>
      </c>
      <c r="J16" s="11"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52E6C-720E-49F5-AABB-7C8FE50C425C}">
  <sheetPr>
    <tabColor rgb="FF00B050"/>
  </sheetPr>
  <dimension ref="C1:N18"/>
  <sheetViews>
    <sheetView tabSelected="1" zoomScale="59" workbookViewId="0">
      <selection activeCell="F31" sqref="F31"/>
    </sheetView>
  </sheetViews>
  <sheetFormatPr defaultRowHeight="14.4" x14ac:dyDescent="0.3"/>
  <cols>
    <col min="3" max="3" width="24.88671875" bestFit="1" customWidth="1"/>
    <col min="4" max="4" width="20.5546875" bestFit="1" customWidth="1"/>
    <col min="6" max="6" width="29.88671875" bestFit="1" customWidth="1"/>
    <col min="7" max="7" width="28.21875" bestFit="1" customWidth="1"/>
    <col min="9" max="9" width="24.88671875" bestFit="1" customWidth="1"/>
    <col min="10" max="10" width="22.77734375" bestFit="1" customWidth="1"/>
    <col min="11" max="11" width="22.44140625" bestFit="1" customWidth="1"/>
    <col min="12" max="12" width="22.77734375" bestFit="1" customWidth="1"/>
    <col min="13" max="13" width="24.33203125" bestFit="1" customWidth="1"/>
    <col min="14" max="14" width="24.109375" bestFit="1" customWidth="1"/>
  </cols>
  <sheetData>
    <row r="1" spans="3:14" x14ac:dyDescent="0.3">
      <c r="C1" s="14" t="s">
        <v>35</v>
      </c>
      <c r="D1" s="15"/>
      <c r="E1" s="15"/>
      <c r="F1" s="15"/>
      <c r="G1" s="15"/>
      <c r="H1" s="15"/>
      <c r="I1" s="15"/>
      <c r="J1" s="15"/>
      <c r="K1" s="15"/>
      <c r="L1" s="15"/>
      <c r="M1" s="15"/>
      <c r="N1" s="16"/>
    </row>
    <row r="2" spans="3:14" ht="15" thickBot="1" x14ac:dyDescent="0.35">
      <c r="C2" s="18"/>
      <c r="D2" s="19"/>
      <c r="E2" s="17"/>
      <c r="F2" s="17"/>
      <c r="G2" s="17"/>
      <c r="H2" s="17"/>
      <c r="I2" s="19"/>
      <c r="J2" s="19"/>
      <c r="K2" s="19"/>
      <c r="L2" s="19"/>
      <c r="M2" s="19"/>
      <c r="N2" s="26"/>
    </row>
    <row r="3" spans="3:14" ht="18.600000000000001" x14ac:dyDescent="0.45">
      <c r="C3" s="22" t="s">
        <v>0</v>
      </c>
      <c r="D3" s="23" t="s">
        <v>28</v>
      </c>
      <c r="F3" s="24" t="s">
        <v>9</v>
      </c>
      <c r="G3" s="25" t="s">
        <v>29</v>
      </c>
      <c r="I3" s="27" t="s">
        <v>0</v>
      </c>
      <c r="J3" s="28" t="s">
        <v>30</v>
      </c>
      <c r="K3" s="28" t="s">
        <v>31</v>
      </c>
      <c r="L3" s="28" t="s">
        <v>32</v>
      </c>
      <c r="M3" s="28" t="s">
        <v>33</v>
      </c>
      <c r="N3" s="28" t="s">
        <v>34</v>
      </c>
    </row>
    <row r="4" spans="3:14" x14ac:dyDescent="0.3">
      <c r="C4" s="20" t="s">
        <v>14</v>
      </c>
      <c r="D4" s="21">
        <v>0.33100000000000002</v>
      </c>
      <c r="F4" t="s">
        <v>16</v>
      </c>
      <c r="G4" s="13">
        <v>1</v>
      </c>
      <c r="I4" t="s">
        <v>14</v>
      </c>
      <c r="J4" s="12">
        <v>8.9999999999999993E-3</v>
      </c>
      <c r="K4" s="12">
        <v>0</v>
      </c>
      <c r="L4" s="12">
        <v>0</v>
      </c>
      <c r="M4" s="12">
        <v>0.91600000000000004</v>
      </c>
      <c r="N4" s="12">
        <v>1</v>
      </c>
    </row>
    <row r="5" spans="3:14" x14ac:dyDescent="0.3">
      <c r="C5" s="20" t="s">
        <v>21</v>
      </c>
      <c r="D5" s="21">
        <v>0.35499999999999998</v>
      </c>
      <c r="F5" t="s">
        <v>13</v>
      </c>
      <c r="G5" s="13">
        <v>3</v>
      </c>
      <c r="I5" t="s">
        <v>21</v>
      </c>
      <c r="J5" s="12">
        <v>0</v>
      </c>
      <c r="K5" s="12">
        <v>0</v>
      </c>
      <c r="L5" s="12">
        <v>0</v>
      </c>
      <c r="M5" s="12">
        <v>0.92</v>
      </c>
      <c r="N5" s="12">
        <v>1</v>
      </c>
    </row>
    <row r="6" spans="3:14" x14ac:dyDescent="0.3">
      <c r="C6" s="20" t="s">
        <v>19</v>
      </c>
      <c r="D6" s="21">
        <v>0.44700000000000001</v>
      </c>
      <c r="F6" t="s">
        <v>11</v>
      </c>
      <c r="G6" s="13">
        <v>11</v>
      </c>
      <c r="I6" t="s">
        <v>19</v>
      </c>
      <c r="J6" s="12">
        <v>5.3999999999999999E-2</v>
      </c>
      <c r="K6" s="12">
        <v>5.8000000000000003E-2</v>
      </c>
      <c r="L6" s="12">
        <v>7.3999999999999996E-2</v>
      </c>
      <c r="M6" s="12">
        <v>0.90700000000000003</v>
      </c>
      <c r="N6" s="12">
        <v>0.99</v>
      </c>
    </row>
    <row r="7" spans="3:14" x14ac:dyDescent="0.3">
      <c r="C7" s="20" t="s">
        <v>12</v>
      </c>
      <c r="D7" s="21">
        <v>0.41199999999999998</v>
      </c>
      <c r="I7" t="s">
        <v>12</v>
      </c>
      <c r="J7" s="12">
        <v>0.188</v>
      </c>
      <c r="K7" s="12">
        <v>0.19500000000000001</v>
      </c>
      <c r="L7" s="12">
        <v>0.23799999999999999</v>
      </c>
      <c r="M7" s="12">
        <v>0.96</v>
      </c>
      <c r="N7" s="12">
        <v>0.96899999999999997</v>
      </c>
    </row>
    <row r="8" spans="3:14" x14ac:dyDescent="0.3">
      <c r="C8" s="20" t="s">
        <v>22</v>
      </c>
      <c r="D8" s="21">
        <v>0.28799999999999998</v>
      </c>
      <c r="I8" t="s">
        <v>22</v>
      </c>
      <c r="J8" s="12">
        <v>0</v>
      </c>
      <c r="K8" s="12">
        <v>0</v>
      </c>
      <c r="L8" s="12">
        <v>0</v>
      </c>
      <c r="M8" s="12">
        <v>0.94299999999999995</v>
      </c>
      <c r="N8" s="12">
        <v>1</v>
      </c>
    </row>
    <row r="9" spans="3:14" x14ac:dyDescent="0.3">
      <c r="C9" s="20" t="s">
        <v>24</v>
      </c>
      <c r="D9" s="21">
        <v>0.373</v>
      </c>
      <c r="I9" t="s">
        <v>24</v>
      </c>
      <c r="J9" s="12">
        <v>1.7999999999999999E-2</v>
      </c>
      <c r="K9" s="12">
        <v>1.9E-2</v>
      </c>
      <c r="L9" s="12">
        <v>2.3E-2</v>
      </c>
      <c r="M9" s="12">
        <v>0.91900000000000004</v>
      </c>
      <c r="N9" s="12">
        <v>0.997</v>
      </c>
    </row>
    <row r="10" spans="3:14" x14ac:dyDescent="0.3">
      <c r="C10" s="20" t="s">
        <v>26</v>
      </c>
      <c r="D10" s="21">
        <v>0.42899999999999999</v>
      </c>
      <c r="I10" t="s">
        <v>26</v>
      </c>
      <c r="J10" s="12">
        <v>0</v>
      </c>
      <c r="K10" s="12">
        <v>0</v>
      </c>
      <c r="L10" s="12">
        <v>0</v>
      </c>
      <c r="M10" s="12">
        <v>1</v>
      </c>
      <c r="N10" s="12">
        <v>0</v>
      </c>
    </row>
    <row r="11" spans="3:14" x14ac:dyDescent="0.3">
      <c r="C11" s="20" t="s">
        <v>23</v>
      </c>
      <c r="D11" s="21">
        <v>0.38300000000000001</v>
      </c>
      <c r="I11" t="s">
        <v>23</v>
      </c>
      <c r="J11" s="12">
        <v>0</v>
      </c>
      <c r="K11" s="12">
        <v>0</v>
      </c>
      <c r="L11" s="12">
        <v>4.0000000000000001E-3</v>
      </c>
      <c r="M11" s="12">
        <v>0.95599999999999996</v>
      </c>
      <c r="N11" s="12">
        <v>0.999</v>
      </c>
    </row>
    <row r="12" spans="3:14" x14ac:dyDescent="0.3">
      <c r="C12" s="20" t="s">
        <v>27</v>
      </c>
      <c r="D12" s="21">
        <v>0.36399999999999999</v>
      </c>
      <c r="I12" t="s">
        <v>27</v>
      </c>
      <c r="J12" s="12">
        <v>0</v>
      </c>
      <c r="K12" s="12">
        <v>0</v>
      </c>
      <c r="L12" s="12">
        <v>0</v>
      </c>
      <c r="M12" s="12">
        <v>0.88900000000000001</v>
      </c>
      <c r="N12" s="12">
        <v>0</v>
      </c>
    </row>
    <row r="13" spans="3:14" x14ac:dyDescent="0.3">
      <c r="C13" s="20" t="s">
        <v>15</v>
      </c>
      <c r="D13" s="21">
        <v>0.73399999999999999</v>
      </c>
      <c r="I13" t="s">
        <v>15</v>
      </c>
      <c r="J13" s="12">
        <v>1</v>
      </c>
      <c r="K13" s="12">
        <v>1</v>
      </c>
      <c r="L13" s="12">
        <v>1</v>
      </c>
      <c r="M13" s="12">
        <v>0.93</v>
      </c>
      <c r="N13" s="12">
        <v>0.998</v>
      </c>
    </row>
    <row r="14" spans="3:14" x14ac:dyDescent="0.3">
      <c r="C14" s="20" t="s">
        <v>10</v>
      </c>
      <c r="D14" s="21">
        <v>0.35099999999999998</v>
      </c>
      <c r="I14" t="s">
        <v>10</v>
      </c>
      <c r="J14" s="12">
        <v>1.7999999999999999E-2</v>
      </c>
      <c r="K14" s="12">
        <v>1.9E-2</v>
      </c>
      <c r="L14" s="12">
        <v>2.7E-2</v>
      </c>
      <c r="M14" s="12">
        <v>0.84</v>
      </c>
      <c r="N14" s="12">
        <v>0.996</v>
      </c>
    </row>
    <row r="15" spans="3:14" x14ac:dyDescent="0.3">
      <c r="C15" s="20" t="s">
        <v>18</v>
      </c>
      <c r="D15" s="21">
        <v>0.34100000000000003</v>
      </c>
      <c r="I15" t="s">
        <v>18</v>
      </c>
      <c r="J15" s="12">
        <v>0</v>
      </c>
      <c r="K15" s="12">
        <v>0</v>
      </c>
      <c r="L15" s="12">
        <v>0</v>
      </c>
      <c r="M15" s="12">
        <v>0.94299999999999995</v>
      </c>
      <c r="N15" s="12">
        <v>1</v>
      </c>
    </row>
    <row r="16" spans="3:14" x14ac:dyDescent="0.3">
      <c r="C16" s="20" t="s">
        <v>25</v>
      </c>
      <c r="D16" s="21">
        <v>0.38200000000000001</v>
      </c>
      <c r="I16" t="s">
        <v>25</v>
      </c>
      <c r="J16" s="12">
        <v>0</v>
      </c>
      <c r="K16" s="12">
        <v>0</v>
      </c>
      <c r="L16" s="12">
        <v>0</v>
      </c>
      <c r="M16" s="12">
        <v>0.95599999999999996</v>
      </c>
      <c r="N16" s="12">
        <v>0</v>
      </c>
    </row>
    <row r="17" spans="3:14" x14ac:dyDescent="0.3">
      <c r="C17" s="20" t="s">
        <v>17</v>
      </c>
      <c r="D17" s="21">
        <v>0.36299999999999999</v>
      </c>
      <c r="I17" t="s">
        <v>17</v>
      </c>
      <c r="J17" s="12">
        <v>6.3E-2</v>
      </c>
      <c r="K17" s="12">
        <v>6.5000000000000002E-2</v>
      </c>
      <c r="L17" s="12">
        <v>8.2000000000000003E-2</v>
      </c>
      <c r="M17" s="12">
        <v>0.77400000000000002</v>
      </c>
      <c r="N17" s="12">
        <v>0.98899999999999999</v>
      </c>
    </row>
    <row r="18" spans="3:14" x14ac:dyDescent="0.3">
      <c r="C18" s="20" t="s">
        <v>20</v>
      </c>
      <c r="D18" s="21">
        <v>0.32300000000000001</v>
      </c>
      <c r="I18" t="s">
        <v>20</v>
      </c>
      <c r="J18" s="12">
        <v>1.7999999999999999E-2</v>
      </c>
      <c r="K18" s="12">
        <v>1.2999999999999999E-2</v>
      </c>
      <c r="L18" s="12">
        <v>1.6E-2</v>
      </c>
      <c r="M18" s="12">
        <v>0.93899999999999995</v>
      </c>
      <c r="N18" s="12">
        <v>0.998</v>
      </c>
    </row>
  </sheetData>
  <mergeCells count="1">
    <mergeCell ref="C1: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6CCD1-0BEA-4E36-A9F5-6E1A7D5E1268}">
  <sheetPr>
    <tabColor rgb="FF00B0F0"/>
  </sheetPr>
  <dimension ref="A1"/>
  <sheetViews>
    <sheetView showGridLines="0" topLeftCell="D3" zoomScale="67" workbookViewId="0">
      <selection activeCell="X33" sqref="X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SQI Main Table</vt:lpstr>
      <vt:lpstr>SQI Pivot Table</vt:lpstr>
      <vt:lpstr>SQI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Amir Hamja Ratul</cp:lastModifiedBy>
  <dcterms:created xsi:type="dcterms:W3CDTF">2015-06-05T18:17:20Z</dcterms:created>
  <dcterms:modified xsi:type="dcterms:W3CDTF">2026-08-05T11:06:46Z</dcterms:modified>
</cp:coreProperties>
</file>